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aac5ac33a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R1" sheetId="1" r:id="R25b7876912894624"/>
    <x:sheet xmlns:r="http://schemas.openxmlformats.org/officeDocument/2006/relationships" name="Dados R1" sheetId="2" r:id="R4b7f9c278872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"/>
    <x:numFmt numFmtId="201" formatCode="#,##0"/>
    <x:numFmt numFmtId="202" formatCode="0.0"/>
    <x:numFmt numFmtId="203" formatCode="0%"/>
  </x:numFmts>
  <x:fonts count="13">
    <x:font>
      <x:sz val="11"/>
      <x:name val="Carlito"/>
    </x:font>
    <x:font>
      <x:sz val="10"/>
      <x:color rgb="FF1D2B2A"/>
      <x:name val="Arial"/>
    </x:font>
    <x:font>
      <x:b/>
      <x:sz val="15"/>
      <x:color rgb="FFFFFFFF"/>
      <x:name val="Arial"/>
    </x:font>
    <x:font>
      <x:i/>
      <x:sz val="10"/>
      <x:color rgb="FF607A78"/>
      <x:name val="Arial"/>
    </x:font>
    <x:font>
      <x:b/>
      <x:sz val="10"/>
      <x:color rgb="FFFFFFFF"/>
      <x:name val="Arial"/>
    </x:font>
    <x:font>
      <x:b/>
      <x:sz val="10"/>
      <x:color rgb="FF118A7E"/>
      <x:name val="Arial"/>
    </x:font>
    <x:font>
      <x:b/>
      <x:sz val="10"/>
      <x:color rgb="FF183B5B"/>
      <x:name val="Arial"/>
    </x:font>
    <x:font>
      <x:sz val="10"/>
      <x:color rgb="FF118A7E"/>
      <x:name val="Arial"/>
    </x:font>
    <x:font>
      <x:sz val="10"/>
      <x:color rgb="FF183B5B"/>
      <x:name val="Arial"/>
    </x:font>
    <x:font>
      <x:b/>
      <x:sz val="16"/>
      <x:color rgb="FFFFFFFF"/>
      <x:name val="Arial"/>
    </x:font>
    <x:font>
      <x:b/>
      <x:sz val="22"/>
      <x:color rgb="FF118A7E"/>
      <x:name val="Arial"/>
    </x:font>
    <x:font>
      <x:b/>
      <x:sz val="22"/>
      <x:color rgb="FFA13A3A"/>
      <x:name val="Arial"/>
    </x:font>
    <x:font>
      <x:sz val="10"/>
      <x:color rgb="FF607A7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FFF2CC"/>
      </x:patternFill>
    </x:fill>
    <x:fill>
      <x:patternFill patternType="solid">
        <x:fgColor rgb="FFE7F5F3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rgb="FFD7E2E0"/>
      </x:left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bottom style="thin">
        <x:color rgb="FFD7E2E0"/>
      </x:bottom>
    </x:border>
    <x:border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left style="thin">
        <x:color rgb="FFD7E2E0"/>
      </x:left>
      <x:top style="thin">
        <x:color rgb="FFD7E2E0"/>
      </x:top>
      <x:bottom style="thin">
        <x:color rgb="FFD7E2E0"/>
      </x:bottom>
    </x:border>
    <x:border>
      <x:right style="thin">
        <x:color rgb="FFD7E2E0"/>
      </x:right>
      <x:top style="thin">
        <x:color rgb="FFD7E2E0"/>
      </x:top>
    </x:border>
    <x:border>
      <x:left style="thin">
        <x:color rgb="FFD7E2E0"/>
      </x:left>
      <x:right style="thin">
        <x:color rgb="FFD7E2E0"/>
      </x:right>
      <x:top style="thin">
        <x:color rgb="FFD7E2E0"/>
      </x:top>
    </x:border>
    <x:border>
      <x:left style="thin">
        <x:color rgb="FFD7E2E0"/>
      </x:left>
      <x:top style="thin">
        <x:color rgb="FFD7E2E0"/>
      </x:top>
    </x:border>
    <x:border>
      <x:top style="thin">
        <x:color rgb="FFD7E2E0"/>
      </x:top>
    </x:border>
    <x:border>
      <x:left style="thin">
        <x:color rgb="FFD7E2E0"/>
      </x:left>
    </x:border>
    <x:border>
      <x:right style="thin">
        <x:color rgb="FFD7E2E0"/>
      </x:right>
    </x:border>
    <x:border>
      <x:bottom style="thin">
        <x:color rgb="FFD7E2E0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center"/>
    </x:xf>
    <x:xf numFmtId="201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201" fontId="5" fillId="4" borderId="0" xfId="0" applyNumberFormat="1" applyFont="1" applyFill="1" applyBorder="1" applyAlignment="1">
      <x:alignment horizontal="center"/>
    </x:xf>
    <x:xf numFmtId="201" fontId="5" fillId="4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201" fontId="1" fillId="3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7" fillId="4" borderId="0" xfId="0" applyNumberFormat="1" applyFont="1" applyFill="1" applyBorder="1" applyAlignment="1">
      <x:alignment horizontal="center"/>
    </x:xf>
    <x:xf numFmtId="202" fontId="7" fillId="4" borderId="0" xfId="0" applyNumberFormat="1" applyFont="1" applyFill="1" applyBorder="1" applyAlignment="1">
      <x:alignment horizontal="center" vertical="center"/>
    </x:xf>
    <x:xf numFmtId="202" fontId="7" fillId="4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4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/>
    <x:xf numFmtId="0" fontId="1" fillId="0" borderId="7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4" xfId="0" applyNumberFormat="1" applyFont="1" applyFill="1" applyBorder="1"/>
    <x:xf numFmtId="0" fontId="1" fillId="0" borderId="13" xfId="0" applyNumberFormat="1" applyFont="1" applyFill="1" applyBorder="1"/>
    <x:xf numFmtId="0" fontId="1" fillId="0" borderId="2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0" fillId="5" borderId="0" xfId="0" applyNumberFormat="1" applyFont="1" applyFill="1" applyBorder="1"/>
    <x:xf numFmtId="201" fontId="10" fillId="5" borderId="0" xfId="0" applyNumberFormat="1" applyFont="1" applyFill="1" applyBorder="1"/>
    <x:xf numFmtId="201" fontId="10" fillId="5" borderId="0" xfId="0" applyNumberFormat="1" applyFont="1" applyFill="1" applyBorder="1" applyAlignment="1">
      <x:alignment horizontal="center"/>
    </x:xf>
    <x:xf numFmtId="201" fontId="10" fillId="5" borderId="0" xfId="0" applyNumberFormat="1" applyFont="1" applyFill="1" applyBorder="1" applyAlignment="1">
      <x:alignment horizontal="center" vertical="center"/>
    </x:xf>
    <x:xf numFmtId="203" fontId="10" fillId="5" borderId="0" xfId="0" applyNumberFormat="1" applyFont="1" applyFill="1" applyBorder="1"/>
    <x:xf numFmtId="203" fontId="10" fillId="5" borderId="0" xfId="0" applyNumberFormat="1" applyFont="1" applyFill="1" applyBorder="1" applyAlignment="1">
      <x:alignment horizontal="center"/>
    </x:xf>
    <x:xf numFmtId="203" fontId="10" fillId="5" borderId="0" xfId="0" applyNumberFormat="1" applyFont="1" applyFill="1" applyBorder="1" applyAlignment="1">
      <x:alignment horizontal="center" vertical="center"/>
    </x:xf>
    <x:xf numFmtId="0" fontId="6" fillId="4" borderId="9" xfId="0" applyNumberFormat="1" applyFont="1" applyFill="1" applyBorder="1" applyAlignment="1">
      <x:alignment horizontal="center" vertic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horizontal="center" vertical="center"/>
    </x:xf>
    <x:xf numFmtId="201" fontId="10" fillId="5" borderId="11" xfId="0" applyNumberFormat="1" applyFont="1" applyFill="1" applyBorder="1" applyAlignment="1">
      <x:alignment horizontal="center" vertical="center"/>
    </x:xf>
    <x:xf numFmtId="201" fontId="10" fillId="5" borderId="12" xfId="0" applyNumberFormat="1" applyFont="1" applyFill="1" applyBorder="1" applyAlignment="1">
      <x:alignment horizontal="center" vertical="center"/>
    </x:xf>
    <x:xf numFmtId="201" fontId="10" fillId="5" borderId="4" xfId="0" applyNumberFormat="1" applyFont="1" applyFill="1" applyBorder="1" applyAlignment="1">
      <x:alignment horizontal="center" vertical="center"/>
    </x:xf>
    <x:xf numFmtId="201" fontId="10" fillId="5" borderId="13" xfId="0" applyNumberFormat="1" applyFont="1" applyFill="1" applyBorder="1" applyAlignment="1">
      <x:alignment horizontal="center" vertical="center"/>
    </x:xf>
    <x:xf numFmtId="201" fontId="10" fillId="5" borderId="2" xfId="0" applyNumberFormat="1" applyFont="1" applyFill="1" applyBorder="1" applyAlignment="1">
      <x:alignment horizontal="center" vertical="center"/>
    </x:xf>
    <x:xf numFmtId="203" fontId="10" fillId="5" borderId="11" xfId="0" applyNumberFormat="1" applyFont="1" applyFill="1" applyBorder="1" applyAlignment="1">
      <x:alignment horizontal="center" vertical="center"/>
    </x:xf>
    <x:xf numFmtId="203" fontId="10" fillId="5" borderId="12" xfId="0" applyNumberFormat="1" applyFont="1" applyFill="1" applyBorder="1" applyAlignment="1">
      <x:alignment horizontal="center" vertical="center"/>
    </x:xf>
    <x:xf numFmtId="203" fontId="10" fillId="5" borderId="4" xfId="0" applyNumberFormat="1" applyFont="1" applyFill="1" applyBorder="1" applyAlignment="1">
      <x:alignment horizontal="center" vertical="center"/>
    </x:xf>
    <x:xf numFmtId="203" fontId="10" fillId="5" borderId="13" xfId="0" applyNumberFormat="1" applyFont="1" applyFill="1" applyBorder="1" applyAlignment="1">
      <x:alignment horizontal="center" vertical="center"/>
    </x:xf>
    <x:xf numFmtId="203" fontId="10" fillId="5" borderId="2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6" fillId="4" borderId="9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11" fillId="0" borderId="11" xfId="0" applyNumberFormat="1" applyFont="1" applyFill="1" applyBorder="1" applyAlignment="1">
      <x:alignment horizontal="center" vertical="center"/>
    </x:xf>
    <x:xf numFmtId="0" fontId="11" fillId="0" borderId="12" xfId="0" applyNumberFormat="1" applyFont="1" applyFill="1" applyBorder="1" applyAlignment="1">
      <x:alignment horizontal="center" vertical="center"/>
    </x:xf>
    <x:xf numFmtId="0" fontId="11" fillId="0" borderId="4" xfId="0" applyNumberFormat="1" applyFont="1" applyFill="1" applyBorder="1" applyAlignment="1">
      <x:alignment horizontal="center" vertical="center"/>
    </x:xf>
    <x:xf numFmtId="0" fontId="11" fillId="0" borderId="2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/>
    </x:xf>
    <x:xf numFmtId="0" fontId="12" fillId="5" borderId="11" xfId="0" applyNumberFormat="1" applyFont="1" applyFill="1" applyBorder="1" applyAlignment="1">
      <x:alignment vertical="center" wrapText="1"/>
    </x:xf>
    <x:xf numFmtId="0" fontId="12" fillId="5" borderId="12" xfId="0" applyNumberFormat="1" applyFont="1" applyFill="1" applyBorder="1" applyAlignment="1">
      <x:alignment vertical="center" wrapText="1"/>
    </x:xf>
    <x:xf numFmtId="0" fontId="12" fillId="5" borderId="4" xfId="0" applyNumberFormat="1" applyFont="1" applyFill="1" applyBorder="1" applyAlignment="1">
      <x:alignment vertical="center" wrapText="1"/>
    </x:xf>
    <x:xf numFmtId="0" fontId="12" fillId="5" borderId="13" xfId="0" applyNumberFormat="1" applyFont="1" applyFill="1" applyBorder="1" applyAlignment="1">
      <x:alignment vertical="center" wrapText="1"/>
    </x:xf>
    <x:xf numFmtId="0" fontId="12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A13A3A"/>
      </x:font>
      <x:fill>
        <x:patternFill patternType="solid">
          <x:bgColor rgb="FFFB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715ab4dc04945" /><Relationship Type="http://schemas.openxmlformats.org/officeDocument/2006/relationships/theme" Target="/xl/theme/theme1.xml" Id="R9a85f9b164474ecf" /><Relationship Type="http://schemas.openxmlformats.org/officeDocument/2006/relationships/sharedStrings" Target="/xl/sharedStrings.xml" Id="R8cd9639a5749407d" /><Relationship Type="http://schemas.openxmlformats.org/officeDocument/2006/relationships/worksheet" Target="/xl/worksheets/sheet1.xml" Id="R25b7876912894624" /><Relationship Type="http://schemas.openxmlformats.org/officeDocument/2006/relationships/worksheet" Target="/xl/worksheets/sheet2.xml" Id="R4b7f9c27887248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0e47fef8b84972" /><Relationship Type="http://schemas.openxmlformats.org/officeDocument/2006/relationships/chart" Target="/xl/drawings/charts/chart2.xml" Id="R39791aba39204f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Itens da R1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Itens</c:v>
          </c:tx>
          <c:spPr>
            <a:solidFill xmlns:a="http://schemas.openxmlformats.org/drawingml/2006/main">
              <a:srgbClr val="118A7E"/>
            </a:solidFill>
          </c:spPr>
          <c:cat>
            <c:strRef>
              <c:f>'Dashboard R1'!$A$14:$A$15</c:f>
              <c:strCache>
                <c:ptCount val="0"/>
              </c:strCache>
            </c:strRef>
          </c:cat>
          <c:val>
            <c:numRef>
              <c:f>'Dashboard R1'!$B$14:$B$15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Preencha o histórico diário na aba Dados R1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Linha ideal</c:v>
          </c:tx>
          <c:spPr>
            <a:ln xmlns:a="http://schemas.openxmlformats.org/drawingml/2006/main" w="19050">
              <a:solidFill>
                <a:srgbClr val="ED8B32"/>
              </a:solidFill>
              <a:prstDash val="dash"/>
            </a:ln>
          </c:spPr>
          <c:marker>
            <c:symbol val="none"/>
          </c:marker>
          <c:cat>
            <c:strRef>
              <c:f>'Dashboard R1'!$T$14:$T$28</c:f>
              <c:strCache>
                <c:ptCount val="0"/>
              </c:strCache>
            </c:strRef>
          </c:cat>
          <c:val>
            <c:numRef>
              <c:f>'Dashboard R1'!$U$14:$U$28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Pontos restantes</c:v>
          </c:tx>
          <c:spPr>
            <a:ln xmlns:a="http://schemas.openxmlformats.org/drawingml/2006/main" w="19050">
              <a:solidFill>
                <a:srgbClr val="118A7E"/>
              </a:solidFill>
              <a:prstDash val="solid"/>
            </a:ln>
          </c:spPr>
          <c:marker>
            <c:symbol val="none"/>
          </c:marker>
          <c:cat>
            <c:strRef>
              <c:f>'Dashboard R1'!$T$14:$T$28</c:f>
              <c:strCache>
                <c:ptCount val="0"/>
              </c:strCache>
            </c:strRef>
          </c:cat>
          <c:val>
            <c:numRef>
              <c:f>'Dashboard R1'!$V$14:$V$28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0e47fef8b84972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791aba39204f9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4adb29bc844149" /></Relationships>
</file>

<file path=xl/worksheets/sheet1.xml><?xml version="1.0" encoding="utf-8"?>
<x:worksheet xmlns:x="http://schemas.openxmlformats.org/spreadsheetml/2006/main">
  <x:sheetPr>
    <x:tabColor rgb="FF183B5B"/>
  </x:sheetPr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" hidden="0" customWidth="1"/>
    <x:col min="16" max="16" width="14" hidden="0" customWidth="1"/>
    <x:col min="17" max="17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67" t="str">
        <x:v>Dashboard da Release 1 · AnatoQuizUP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</x:row>
    <x:row r="3">
      <x:c r="A3" s="68" t="str">
        <x:f>IF(COUNTIF('Dados R1'!$A$11:$A$30,"&lt;&gt;")=0,"Sem dados para a R1. Preencha a aba Dados R1.","Dados atualizados em 27/09/2026 a partir das issues e pull requests públicos do projeto.")</x:f>
        <x:v>Dados atualizados em 27/09/2026 a partir das issues e pull requests públicos do projeto.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0" customHeight="1">
      <x:c r="A5" s="79" t="str">
        <x:v>Itens da R1</x:v>
      </x:c>
      <x:c r="B5" s="80"/>
      <x:c r="C5" s="80"/>
      <x:c r="D5" s="81"/>
      <x:c r="E5" s="1"/>
      <x:c r="F5" s="79" t="str">
        <x:v>Itens concluídos</x:v>
      </x:c>
      <x:c r="G5" s="80"/>
      <x:c r="H5" s="80"/>
      <x:c r="I5" s="81"/>
      <x:c r="J5" s="1"/>
      <x:c r="K5" s="79" t="str">
        <x:v>Conclusão atual</x:v>
      </x:c>
      <x:c r="L5" s="80"/>
      <x:c r="M5" s="80"/>
      <x:c r="N5" s="81"/>
      <x:c r="O5" s="1"/>
      <x:c r="P5" s="79" t="str">
        <x:v>PRs integrados</x:v>
      </x:c>
      <x:c r="Q5" s="81"/>
    </x:row>
    <x:row r="6" ht="20" customHeight="1">
      <x:c r="A6" s="82" t="n">
        <x:f>COUNTIF('Dados R1'!$A$11:$A$30,"&lt;&gt;")</x:f>
        <x:v>11</x:v>
      </x:c>
      <x:c r="B6" s="75"/>
      <x:c r="C6" s="75"/>
      <x:c r="D6" s="83"/>
      <x:c r="E6" s="1"/>
      <x:c r="F6" s="82" t="n">
        <x:f>COUNTIF('Dados R1'!$E$11:$E$30,"Concluída")</x:f>
        <x:v>6</x:v>
      </x:c>
      <x:c r="G6" s="75"/>
      <x:c r="H6" s="75"/>
      <x:c r="I6" s="83"/>
      <x:c r="J6" s="1"/>
      <x:c r="K6" s="87" t="n">
        <x:f>IF(COUNTIF('Dados R1'!$A$11:$A$30,"&lt;&gt;")=0,"n.a.",COUNTIF('Dados R1'!$E$11:$E$30,"Concluída")/COUNTIF('Dados R1'!$A$11:$A$30,"&lt;&gt;"))</x:f>
        <x:v>0.5454545454545454</x:v>
      </x:c>
      <x:c r="L6" s="78"/>
      <x:c r="M6" s="78"/>
      <x:c r="N6" s="88"/>
      <x:c r="O6" s="1"/>
      <x:c r="P6" s="82" t="n">
        <x:f>IF('Dados R1'!$D$6="","n.a.",'Dados R1'!$D$6)</x:f>
        <x:v>17</x:v>
      </x:c>
      <x:c r="Q6" s="83"/>
    </x:row>
    <x:row r="7" ht="20" customHeight="1">
      <x:c r="A7" s="82"/>
      <x:c r="B7" s="75"/>
      <x:c r="C7" s="75"/>
      <x:c r="D7" s="83"/>
      <x:c r="E7" s="1"/>
      <x:c r="F7" s="82"/>
      <x:c r="G7" s="75"/>
      <x:c r="H7" s="75"/>
      <x:c r="I7" s="83"/>
      <x:c r="J7" s="1"/>
      <x:c r="K7" s="87"/>
      <x:c r="L7" s="78"/>
      <x:c r="M7" s="78"/>
      <x:c r="N7" s="88"/>
      <x:c r="O7" s="1"/>
      <x:c r="P7" s="82"/>
      <x:c r="Q7" s="83"/>
    </x:row>
    <x:row r="8" ht="20" customHeight="1">
      <x:c r="A8" s="84"/>
      <x:c r="B8" s="85"/>
      <x:c r="C8" s="85"/>
      <x:c r="D8" s="86"/>
      <x:c r="E8" s="1"/>
      <x:c r="F8" s="84"/>
      <x:c r="G8" s="85"/>
      <x:c r="H8" s="85"/>
      <x:c r="I8" s="86"/>
      <x:c r="J8" s="1"/>
      <x:c r="K8" s="89"/>
      <x:c r="L8" s="90"/>
      <x:c r="M8" s="90"/>
      <x:c r="N8" s="91"/>
      <x:c r="O8" s="1"/>
      <x:c r="P8" s="84"/>
      <x:c r="Q8" s="86"/>
    </x:row>
    <x:row r="9" ht="20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0" customHeight="1">
      <x:c r="A11" s="28" t="str">
        <x:v>Itens mapeados x concluídos</x:v>
      </x:c>
      <x:c r="B11" s="28"/>
      <x:c r="C11" s="28"/>
      <x:c r="D11" s="28"/>
      <x:c r="E11" s="28"/>
      <x:c r="F11" s="28"/>
      <x:c r="G11" s="28"/>
      <x:c r="H11" s="28"/>
      <x:c r="I11" s="1"/>
      <x:c r="J11" s="28" t="str">
        <x:v>Burndown da sprint — sem histórico informado</x:v>
      </x:c>
      <x:c r="K11" s="28"/>
      <x:c r="L11" s="28"/>
      <x:c r="M11" s="28"/>
      <x:c r="N11" s="28"/>
      <x:c r="O11" s="28"/>
      <x:c r="P11" s="28"/>
      <x:c r="Q11" s="28"/>
    </x:row>
    <x:row r="12" ht="2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0" customHeight="1">
      <x:c r="A13" s="23" t="str">
        <x:v>Indicador</x:v>
      </x:c>
      <x:c r="B13" s="23" t="str">
        <x:v>Itens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T13" t="str">
        <x:f>'Dados R1'!H5</x:f>
        <x:v>Data</x:v>
      </x:c>
      <x:c r="U13" t="str">
        <x:f>'Dados R1'!I5</x:f>
        <x:v>Linha ideal</x:v>
      </x:c>
      <x:c r="V13" t="str">
        <x:f>'Dados R1'!J5</x:f>
        <x:v>Pontos restantes</x:v>
      </x:c>
    </x:row>
    <x:row r="14" ht="20" customHeight="1">
      <x:c r="A14" s="95" t="str">
        <x:v>Mapeados</x:v>
      </x:c>
      <x:c r="B14" s="96" t="n">
        <x:f>COUNTIF('Dados R1'!$A$11:$A$30,"&lt;&gt;")</x:f>
        <x:v>11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T14" t="n">
        <x:f>'Dados R1'!H6</x:f>
        <x:v>0</x:v>
      </x:c>
      <x:c r="U14" t="n">
        <x:f>'Dados R1'!I6</x:f>
        <x:v>0</x:v>
      </x:c>
      <x:c r="V14" t="n">
        <x:f>'Dados R1'!J6</x:f>
        <x:v>0</x:v>
      </x:c>
    </x:row>
    <x:row r="15" ht="20" customHeight="1">
      <x:c r="A15" s="95" t="str">
        <x:v>Concluídos</x:v>
      </x:c>
      <x:c r="B15" s="96" t="n">
        <x:f>COUNTIF('Dados R1'!$E$11:$E$30,"Concluída")</x:f>
        <x:v>6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T15" t="n">
        <x:f>'Dados R1'!H7</x:f>
        <x:v>0</x:v>
      </x:c>
      <x:c r="U15" t="n">
        <x:f>'Dados R1'!I7</x:f>
        <x:v>0</x:v>
      </x:c>
      <x:c r="V15" t="n">
        <x:f>'Dados R1'!J7</x:f>
        <x:v>0</x:v>
      </x:c>
    </x:row>
    <x:row r="16" ht="2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T16" t="n">
        <x:f>'Dados R1'!H8</x:f>
        <x:v>0</x:v>
      </x:c>
      <x:c r="U16" t="n">
        <x:f>'Dados R1'!I8</x:f>
        <x:v>0</x:v>
      </x:c>
      <x:c r="V16" t="n">
        <x:f>'Dados R1'!J8</x:f>
        <x:v>0</x:v>
      </x:c>
    </x:row>
    <x:row r="17" ht="2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T17" t="n">
        <x:f>'Dados R1'!H9</x:f>
        <x:v>0</x:v>
      </x:c>
      <x:c r="U17" t="n">
        <x:f>'Dados R1'!I9</x:f>
        <x:v>0</x:v>
      </x:c>
      <x:c r="V17" t="n">
        <x:f>'Dados R1'!J9</x:f>
        <x:v>0</x:v>
      </x:c>
    </x:row>
    <x:row r="18" ht="2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T18" t="n">
        <x:f>'Dados R1'!H10</x:f>
        <x:v>0</x:v>
      </x:c>
      <x:c r="U18" t="n">
        <x:f>'Dados R1'!I10</x:f>
        <x:v>0</x:v>
      </x:c>
      <x:c r="V18" t="n">
        <x:f>'Dados R1'!J10</x:f>
        <x:v>0</x:v>
      </x:c>
    </x:row>
    <x:row r="19" ht="2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T19" t="n">
        <x:f>'Dados R1'!H11</x:f>
        <x:v>0</x:v>
      </x:c>
      <x:c r="U19" t="n">
        <x:f>'Dados R1'!I11</x:f>
        <x:v>0</x:v>
      </x:c>
      <x:c r="V19" t="n">
        <x:f>'Dados R1'!J11</x:f>
        <x:v>0</x:v>
      </x:c>
    </x:row>
    <x:row r="20" ht="2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T20" t="n">
        <x:f>'Dados R1'!H12</x:f>
        <x:v>0</x:v>
      </x:c>
      <x:c r="U20" t="n">
        <x:f>'Dados R1'!I12</x:f>
        <x:v>0</x:v>
      </x:c>
      <x:c r="V20" t="n">
        <x:f>'Dados R1'!J12</x:f>
        <x:v>0</x:v>
      </x:c>
    </x:row>
    <x:row r="21" ht="2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T21" t="n">
        <x:f>'Dados R1'!H13</x:f>
        <x:v>0</x:v>
      </x:c>
      <x:c r="U21" t="n">
        <x:f>'Dados R1'!I13</x:f>
        <x:v>0</x:v>
      </x:c>
      <x:c r="V21" t="n">
        <x:f>'Dados R1'!J13</x:f>
        <x:v>0</x:v>
      </x:c>
    </x:row>
    <x:row r="22" ht="2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T22" t="n">
        <x:f>'Dados R1'!H14</x:f>
        <x:v>0</x:v>
      </x:c>
      <x:c r="U22" t="n">
        <x:f>'Dados R1'!I14</x:f>
        <x:v>0</x:v>
      </x:c>
      <x:c r="V22" t="n">
        <x:f>'Dados R1'!J14</x:f>
        <x:v>0</x:v>
      </x:c>
    </x:row>
    <x:row r="23" ht="2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T23" t="n">
        <x:f>'Dados R1'!H15</x:f>
        <x:v>0</x:v>
      </x:c>
      <x:c r="U23" t="n">
        <x:f>'Dados R1'!I15</x:f>
        <x:v>0</x:v>
      </x:c>
      <x:c r="V23" t="n">
        <x:f>'Dados R1'!J15</x:f>
        <x:v>0</x:v>
      </x:c>
    </x:row>
    <x:row r="24" ht="2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T24" t="n">
        <x:f>'Dados R1'!H16</x:f>
        <x:v>0</x:v>
      </x:c>
      <x:c r="U24" t="n">
        <x:f>'Dados R1'!I16</x:f>
        <x:v>0</x:v>
      </x:c>
      <x:c r="V24" t="n">
        <x:f>'Dados R1'!J16</x:f>
        <x:v>0</x:v>
      </x:c>
    </x:row>
    <x:row r="25" ht="2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T25" t="n">
        <x:f>'Dados R1'!H17</x:f>
        <x:v>0</x:v>
      </x:c>
      <x:c r="U25" t="n">
        <x:f>'Dados R1'!I17</x:f>
        <x:v>0</x:v>
      </x:c>
      <x:c r="V25" t="n">
        <x:f>'Dados R1'!J17</x:f>
        <x:v>0</x:v>
      </x:c>
    </x:row>
    <x:row r="26" ht="2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T26" t="n">
        <x:f>'Dados R1'!H18</x:f>
        <x:v>0</x:v>
      </x:c>
      <x:c r="U26" t="n">
        <x:f>'Dados R1'!I18</x:f>
        <x:v>0</x:v>
      </x:c>
      <x:c r="V26" t="n">
        <x:f>'Dados R1'!J18</x:f>
        <x:v>0</x:v>
      </x:c>
    </x:row>
    <x:row r="27" ht="20" customHeight="1">
      <x:c r="A27" s="100" t="str">
        <x:v>Riscos e impedimentos em aberto</x:v>
      </x:c>
      <x:c r="B27" s="101"/>
      <x:c r="C27" s="28"/>
      <x:c r="D27" s="100" t="str">
        <x:v>Leitura rápida</x:v>
      </x:c>
      <x:c r="E27" s="109"/>
      <x:c r="F27" s="109"/>
      <x:c r="G27" s="109"/>
      <x:c r="H27" s="101"/>
      <x:c r="I27" s="1"/>
      <x:c r="J27" s="1"/>
      <x:c r="K27" s="1"/>
      <x:c r="L27" s="1"/>
      <x:c r="M27" s="1"/>
      <x:c r="N27" s="1"/>
      <x:c r="O27" s="1"/>
      <x:c r="P27" s="1"/>
      <x:c r="Q27" s="1"/>
      <x:c r="T27" t="n">
        <x:f>'Dados R1'!H19</x:f>
        <x:v>0</x:v>
      </x:c>
      <x:c r="U27" t="n">
        <x:f>'Dados R1'!I19</x:f>
        <x:v>0</x:v>
      </x:c>
      <x:c r="V27" t="n">
        <x:f>'Dados R1'!J19</x:f>
        <x:v>0</x:v>
      </x:c>
    </x:row>
    <x:row r="28" ht="20" customHeight="1">
      <x:c r="A28" s="102" t="n">
        <x:f>COUNTIF('Dados R1'!$L$25:$L$34,"Aberto")</x:f>
        <x:v>5</x:v>
      </x:c>
      <x:c r="B28" s="103"/>
      <x:c r="C28" s="1"/>
      <x:c r="D28" s="110" t="str">
        <x:f>IF(COUNTIF('Dados R1'!$A$11:$A$30,"&lt;&gt;")=0,"Preencha as issues da R1 na aba Dados R1.","Os itens abertos já aparecem como pontos de atenção. Pontos e burndown diário continuam como não informados nas issues.")</x:f>
        <x:v>Os itens abertos já aparecem como pontos de atenção. Pontos e burndown diário continuam como não informados nas issues.</x:v>
      </x:c>
      <x:c r="E28" s="108"/>
      <x:c r="F28" s="108"/>
      <x:c r="G28" s="108"/>
      <x:c r="H28" s="111"/>
      <x:c r="I28" s="1"/>
      <x:c r="J28" s="1"/>
      <x:c r="K28" s="1"/>
      <x:c r="L28" s="1"/>
      <x:c r="M28" s="1"/>
      <x:c r="N28" s="1"/>
      <x:c r="O28" s="1"/>
      <x:c r="P28" s="1"/>
      <x:c r="Q28" s="1"/>
      <x:c r="T28" t="n">
        <x:f>'Dados R1'!H20</x:f>
        <x:v>0</x:v>
      </x:c>
      <x:c r="U28" t="n">
        <x:f>'Dados R1'!I20</x:f>
        <x:v>0</x:v>
      </x:c>
      <x:c r="V28" t="n">
        <x:f>'Dados R1'!J20</x:f>
        <x:v>0</x:v>
      </x:c>
    </x:row>
    <x:row r="29" ht="20" customHeight="1">
      <x:c r="A29" s="102"/>
      <x:c r="B29" s="103"/>
      <x:c r="C29" s="1"/>
      <x:c r="D29" s="110"/>
      <x:c r="E29" s="108"/>
      <x:c r="F29" s="108"/>
      <x:c r="G29" s="108"/>
      <x:c r="H29" s="11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0" customHeight="1">
      <x:c r="A30" s="104"/>
      <x:c r="B30" s="105"/>
      <x:c r="C30" s="1"/>
      <x:c r="D30" s="112"/>
      <x:c r="E30" s="113"/>
      <x:c r="F30" s="113"/>
      <x:c r="G30" s="113"/>
      <x:c r="H30" s="114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</x:sheetData>
  <x:mergeCells>
    <x:mergeCell ref="A2:Q2"/>
    <x:mergeCell ref="A3:Q3"/>
    <x:mergeCell ref="A5:D5"/>
    <x:mergeCell ref="F5:I5"/>
    <x:mergeCell ref="K5:N5"/>
    <x:mergeCell ref="P5:Q5"/>
    <x:mergeCell ref="A6:D8"/>
    <x:mergeCell ref="F6:I8"/>
    <x:mergeCell ref="K6:N8"/>
    <x:mergeCell ref="P6:Q8"/>
    <x:mergeCell ref="A11:H11"/>
    <x:mergeCell ref="J11:Q11"/>
    <x:mergeCell ref="A27:H27"/>
    <x:mergeCell ref="A28:B30"/>
    <x:mergeCell ref="D27:H27"/>
    <x:mergeCell ref="D28:H30"/>
  </x:mergeCells>
  <x:pageMargins left="0.7" right="0.7" top="0.75" bottom="0.75" header="0.3" footer="0.3"/>
  <x:drawing xmlns:r="http://schemas.openxmlformats.org/officeDocument/2006/relationships" r:id="R9b4adb29bc844149"/>
</x:worksheet>
</file>

<file path=xl/worksheets/sheet2.xml><?xml version="1.0" encoding="utf-8"?>
<x:worksheet xmlns:x="http://schemas.openxmlformats.org/spreadsheetml/2006/main">
  <x:sheetPr>
    <x:tabColor rgb="FF5D9E97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15" hidden="0" customWidth="1"/>
    <x:col min="4" max="4" width="12" hidden="0" customWidth="1"/>
    <x:col min="5" max="5" width="17" hidden="0" customWidth="1"/>
    <x:col min="6" max="6" width="16" hidden="0" customWidth="1"/>
    <x:col min="7" max="7" width="3" hidden="0" customWidth="1"/>
    <x:col min="8" max="8" width="14" hidden="0" customWidth="1"/>
    <x:col min="9" max="9" width="27" hidden="0" customWidth="1"/>
    <x:col min="10" max="10" width="20" hidden="0" customWidth="1"/>
    <x:col min="11" max="11" width="24" hidden="0" customWidth="1"/>
    <x:col min="12" max="12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8" customHeight="1">
      <x:c r="A2" s="5" t="str">
        <x:v>Dados da Release 1</x:v>
      </x:c>
      <x:c r="B2" s="5"/>
      <x:c r="C2" s="5"/>
      <x:c r="D2" s="5"/>
      <x:c r="E2" s="5"/>
      <x:c r="F2" s="5"/>
      <x:c r="G2" s="1"/>
      <x:c r="H2" s="45" t="str">
        <x:v>Burndown da sprint</x:v>
      </x:c>
      <x:c r="I2" s="45"/>
      <x:c r="J2" s="45"/>
      <x:c r="K2" s="1"/>
      <x:c r="L2" s="1"/>
      <x:c r="M2" s="1"/>
      <x:c r="N2" s="1"/>
      <x:c r="O2" s="1"/>
      <x:c r="P2" s="1"/>
      <x:c r="Q2" s="1"/>
    </x:row>
    <x:row r="3" ht="30" customHeight="1">
      <x:c r="A3" s="7" t="str">
        <x:v>Dados iniciais conferidos em 27/09/2026. Atualize as células amarelas quando o trabalho avançar.</x:v>
      </x:c>
      <x:c r="B3" s="1"/>
      <x:c r="C3" s="1"/>
      <x:c r="D3" s="1"/>
      <x:c r="E3" s="1"/>
      <x:c r="F3" s="1"/>
      <x:c r="G3" s="1"/>
      <x:c r="H3" s="7" t="str">
        <x:v>Não há registro diário de pontos nas issues. Preencha quando a equipe tiver esse histórico; a linha ideal será calculada automaticamente.</x:v>
      </x:c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23" t="str">
        <x:v>Primeiro registro</x:v>
      </x:c>
      <x:c r="B5" s="23" t="str">
        <x:v>Dados atualizados em</x:v>
      </x:c>
      <x:c r="C5" s="23" t="str">
        <x:v>Pontos estimados</x:v>
      </x:c>
      <x:c r="D5" s="23" t="str">
        <x:v>PRs integrados</x:v>
      </x:c>
      <x:c r="E5" s="1"/>
      <x:c r="F5" s="1"/>
      <x:c r="G5" s="1"/>
      <x:c r="H5" s="10" t="str">
        <x:v>Data</x:v>
      </x:c>
      <x:c r="I5" s="10" t="str">
        <x:v>Linha ideal</x:v>
      </x:c>
      <x:c r="J5" s="10" t="str">
        <x:v>Pontos restantes</x:v>
      </x:c>
      <x:c r="K5" s="1"/>
      <x:c r="L5" s="1"/>
      <x:c r="M5" s="1"/>
      <x:c r="N5" s="1"/>
      <x:c r="O5" s="1"/>
      <x:c r="P5" s="1"/>
      <x:c r="Q5" s="1"/>
    </x:row>
    <x:row r="6">
      <x:c r="A6" s="24" t="n">
        <x:v>46272</x:v>
      </x:c>
      <x:c r="B6" s="24" t="n">
        <x:v>46292</x:v>
      </x:c>
      <x:c r="C6" s="25" t="str">
        <x:f>IF(COUNT($D$11:$D$30)=0,"",SUM($D$11:$D$30))</x:f>
      </x:c>
      <x:c r="D6" s="26" t="n">
        <x:v>17</x:v>
      </x:c>
      <x:c r="E6" s="1"/>
      <x:c r="F6" s="1"/>
      <x:c r="G6" s="1"/>
      <x:c r="H6" s="24"/>
      <x:c r="I6" s="50" t="str">
        <x:f>IF(OR(H6="",$A$6="",$B$6="",$C$6=""),"",MAX(0,$C$6-($C$6*(H6-$A$6)/($B$6-$A$6))))</x:f>
      </x:c>
      <x:c r="J6" s="26"/>
      <x:c r="K6" s="1"/>
      <x:c r="L6" s="1"/>
      <x:c r="M6" s="1"/>
      <x:c r="N6" s="1"/>
      <x:c r="O6" s="1"/>
      <x:c r="P6" s="1"/>
      <x:c r="Q6" s="1"/>
    </x:row>
    <x:row r="7">
      <x:c r="A7" s="1"/>
      <x:c r="B7" s="1"/>
      <x:c r="C7" s="1"/>
      <x:c r="D7" s="1"/>
      <x:c r="E7" s="1"/>
      <x:c r="F7" s="1"/>
      <x:c r="G7" s="1"/>
      <x:c r="H7" s="24"/>
      <x:c r="I7" s="50" t="str">
        <x:f>IF(OR(H7="",$A$6="",$B$6="",$C$6=""),"",MAX(0,$C$6-($C$6*(H7-$A$6)/($B$6-$A$6))))</x:f>
      </x:c>
      <x:c r="J7" s="26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24"/>
      <x:c r="I8" s="50" t="str">
        <x:f>IF(OR(H8="",$A$6="",$B$6="",$C$6=""),"",MAX(0,$C$6-($C$6*(H8-$A$6)/($B$6-$A$6))))</x:f>
      </x:c>
      <x:c r="J8" s="26"/>
      <x:c r="K8" s="1"/>
      <x:c r="L8" s="1"/>
      <x:c r="M8" s="1"/>
      <x:c r="N8" s="1"/>
      <x:c r="O8" s="1"/>
      <x:c r="P8" s="1"/>
      <x:c r="Q8" s="1"/>
    </x:row>
    <x:row r="9">
      <x:c r="A9" s="28" t="str">
        <x:v>Itens e issues da R1</x:v>
      </x:c>
      <x:c r="B9" s="28"/>
      <x:c r="C9" s="28"/>
      <x:c r="D9" s="28"/>
      <x:c r="E9" s="28"/>
      <x:c r="F9" s="28"/>
      <x:c r="G9" s="1"/>
      <x:c r="H9" s="24"/>
      <x:c r="I9" s="50" t="str">
        <x:f>IF(OR(H9="",$A$6="",$B$6="",$C$6=""),"",MAX(0,$C$6-($C$6*(H9-$A$6)/($B$6-$A$6))))</x:f>
      </x:c>
      <x:c r="J9" s="26"/>
      <x:c r="K9" s="1"/>
      <x:c r="L9" s="1"/>
      <x:c r="M9" s="1"/>
      <x:c r="N9" s="1"/>
      <x:c r="O9" s="1"/>
      <x:c r="P9" s="1"/>
      <x:c r="Q9" s="1"/>
    </x:row>
    <x:row r="10" ht="28" customHeight="1">
      <x:c r="A10" s="31" t="str">
        <x:v>ID</x:v>
      </x:c>
      <x:c r="B10" s="31" t="str">
        <x:v>Objetivo / item</x:v>
      </x:c>
      <x:c r="C10" s="31" t="str">
        <x:v>Sprint</x:v>
      </x:c>
      <x:c r="D10" s="31" t="str">
        <x:v>Pontos</x:v>
      </x:c>
      <x:c r="E10" s="31" t="str">
        <x:v>Status</x:v>
      </x:c>
      <x:c r="F10" s="31" t="str">
        <x:v>Referência</x:v>
      </x:c>
      <x:c r="G10" s="1"/>
      <x:c r="H10" s="24"/>
      <x:c r="I10" s="50" t="str">
        <x:f>IF(OR(H10="",$A$6="",$B$6="",$C$6=""),"",MAX(0,$C$6-($C$6*(H10-$A$6)/($B$6-$A$6))))</x:f>
      </x:c>
      <x:c r="J10" s="26"/>
      <x:c r="K10" s="1"/>
      <x:c r="L10" s="1"/>
      <x:c r="M10" s="1"/>
      <x:c r="N10" s="1"/>
      <x:c r="O10" s="1"/>
      <x:c r="P10" s="1"/>
      <x:c r="Q10" s="1"/>
    </x:row>
    <x:row r="11" ht="28" customHeight="1">
      <x:c r="A11" s="43" t="str">
        <x:v>#6</x:v>
      </x:c>
      <x:c r="B11" s="43" t="str">
        <x:v>[Docs] Backlog do produto</x:v>
      </x:c>
      <x:c r="C11" s="43" t="str">
        <x:v>R1</x:v>
      </x:c>
      <x:c r="D11" s="44"/>
      <x:c r="E11" s="43" t="str">
        <x:v>Em andamento</x:v>
      </x:c>
      <x:c r="F11" s="43" t="str">
        <x:v>Doc #6</x:v>
      </x:c>
      <x:c r="G11" s="1"/>
      <x:c r="H11" s="24"/>
      <x:c r="I11" s="50" t="str">
        <x:f>IF(OR(H11="",$A$6="",$B$6="",$C$6=""),"",MAX(0,$C$6-($C$6*(H11-$A$6)/($B$6-$A$6))))</x:f>
      </x:c>
      <x:c r="J11" s="26"/>
      <x:c r="K11" s="1"/>
      <x:c r="L11" s="1"/>
      <x:c r="M11" s="1"/>
      <x:c r="N11" s="1"/>
      <x:c r="O11" s="1"/>
      <x:c r="P11" s="1"/>
      <x:c r="Q11" s="1"/>
    </x:row>
    <x:row r="12" ht="28" customHeight="1">
      <x:c r="A12" s="43" t="str">
        <x:v>#8</x:v>
      </x:c>
      <x:c r="B12" s="43" t="str">
        <x:v>[Docs] Metodologia de desenvolvimento</x:v>
      </x:c>
      <x:c r="C12" s="43" t="str">
        <x:v>R1</x:v>
      </x:c>
      <x:c r="D12" s="44"/>
      <x:c r="E12" s="43" t="str">
        <x:v>Em andamento</x:v>
      </x:c>
      <x:c r="F12" s="43" t="str">
        <x:v>Doc #8</x:v>
      </x:c>
      <x:c r="G12" s="1"/>
      <x:c r="H12" s="24"/>
      <x:c r="I12" s="50" t="str">
        <x:f>IF(OR(H12="",$A$6="",$B$6="",$C$6=""),"",MAX(0,$C$6-($C$6*(H12-$A$6)/($B$6-$A$6))))</x:f>
      </x:c>
      <x:c r="J12" s="26"/>
      <x:c r="K12" s="1"/>
      <x:c r="L12" s="1"/>
      <x:c r="M12" s="1"/>
      <x:c r="N12" s="1"/>
      <x:c r="O12" s="1"/>
      <x:c r="P12" s="1"/>
      <x:c r="Q12" s="1"/>
    </x:row>
    <x:row r="13" ht="28" customHeight="1">
      <x:c r="A13" s="43" t="str">
        <x:v>#9</x:v>
      </x:c>
      <x:c r="B13" s="43" t="str">
        <x:v>[Docs] Conhecimento e tecnologias</x:v>
      </x:c>
      <x:c r="C13" s="43" t="str">
        <x:v>R1</x:v>
      </x:c>
      <x:c r="D13" s="44"/>
      <x:c r="E13" s="43" t="str">
        <x:v>Em andamento</x:v>
      </x:c>
      <x:c r="F13" s="43" t="str">
        <x:v>Doc #9</x:v>
      </x:c>
      <x:c r="G13" s="1"/>
      <x:c r="H13" s="24"/>
      <x:c r="I13" s="50" t="str">
        <x:f>IF(OR(H13="",$A$6="",$B$6="",$C$6=""),"",MAX(0,$C$6-($C$6*(H13-$A$6)/($B$6-$A$6))))</x:f>
      </x:c>
      <x:c r="J13" s="26"/>
      <x:c r="K13" s="1"/>
      <x:c r="L13" s="1"/>
      <x:c r="M13" s="1"/>
      <x:c r="N13" s="1"/>
      <x:c r="O13" s="1"/>
      <x:c r="P13" s="1"/>
      <x:c r="Q13" s="1"/>
    </x:row>
    <x:row r="14" ht="28" customHeight="1">
      <x:c r="A14" s="43" t="str">
        <x:v>#31</x:v>
      </x:c>
      <x:c r="B14" s="43" t="str">
        <x:v>[Produto] Avatar padrão</x:v>
      </x:c>
      <x:c r="C14" s="43" t="str">
        <x:v>R1</x:v>
      </x:c>
      <x:c r="D14" s="44"/>
      <x:c r="E14" s="43" t="str">
        <x:v>Concluída</x:v>
      </x:c>
      <x:c r="F14" s="43" t="str">
        <x:v>Doc #31</x:v>
      </x:c>
      <x:c r="G14" s="1"/>
      <x:c r="H14" s="24"/>
      <x:c r="I14" s="50" t="str">
        <x:f>IF(OR(H14="",$A$6="",$B$6="",$C$6=""),"",MAX(0,$C$6-($C$6*(H14-$A$6)/($B$6-$A$6))))</x:f>
      </x:c>
      <x:c r="J14" s="26"/>
      <x:c r="K14" s="1"/>
      <x:c r="L14" s="1"/>
      <x:c r="M14" s="1"/>
      <x:c r="N14" s="1"/>
      <x:c r="O14" s="1"/>
      <x:c r="P14" s="1"/>
      <x:c r="Q14" s="1"/>
    </x:row>
    <x:row r="15" ht="28" customHeight="1">
      <x:c r="A15" s="43" t="str">
        <x:v>#32</x:v>
      </x:c>
      <x:c r="B15" s="43" t="str">
        <x:v>[Produto] Aparência do avatar</x:v>
      </x:c>
      <x:c r="C15" s="43" t="str">
        <x:v>R1</x:v>
      </x:c>
      <x:c r="D15" s="44"/>
      <x:c r="E15" s="43" t="str">
        <x:v>Concluída</x:v>
      </x:c>
      <x:c r="F15" s="43" t="str">
        <x:v>Doc #32</x:v>
      </x:c>
      <x:c r="G15" s="1"/>
      <x:c r="H15" s="24"/>
      <x:c r="I15" s="50" t="str">
        <x:f>IF(OR(H15="",$A$6="",$B$6="",$C$6=""),"",MAX(0,$C$6-($C$6*(H15-$A$6)/($B$6-$A$6))))</x:f>
      </x:c>
      <x:c r="J15" s="26"/>
      <x:c r="K15" s="1"/>
      <x:c r="L15" s="1"/>
      <x:c r="M15" s="1"/>
      <x:c r="N15" s="1"/>
      <x:c r="O15" s="1"/>
      <x:c r="P15" s="1"/>
      <x:c r="Q15" s="1"/>
    </x:row>
    <x:row r="16" ht="28" customHeight="1">
      <x:c r="A16" s="43" t="str">
        <x:v>#33</x:v>
      </x:c>
      <x:c r="B16" s="43" t="str">
        <x:v>[Produto] Roupa do avatar</x:v>
      </x:c>
      <x:c r="C16" s="43" t="str">
        <x:v>R1</x:v>
      </x:c>
      <x:c r="D16" s="44"/>
      <x:c r="E16" s="43" t="str">
        <x:v>Em andamento</x:v>
      </x:c>
      <x:c r="F16" s="43" t="str">
        <x:v>Doc #33</x:v>
      </x:c>
      <x:c r="G16" s="1"/>
      <x:c r="H16" s="24"/>
      <x:c r="I16" s="50" t="str">
        <x:f>IF(OR(H16="",$A$6="",$B$6="",$C$6=""),"",MAX(0,$C$6-($C$6*(H16-$A$6)/($B$6-$A$6))))</x:f>
      </x:c>
      <x:c r="J16" s="26"/>
      <x:c r="K16" s="1"/>
      <x:c r="L16" s="1"/>
      <x:c r="M16" s="1"/>
      <x:c r="N16" s="1"/>
      <x:c r="O16" s="1"/>
      <x:c r="P16" s="1"/>
      <x:c r="Q16" s="1"/>
    </x:row>
    <x:row r="17" ht="28" customHeight="1">
      <x:c r="A17" s="43" t="str">
        <x:v>#34</x:v>
      </x:c>
      <x:c r="B17" s="43" t="str">
        <x:v>[Produto] Acessórios do avatar</x:v>
      </x:c>
      <x:c r="C17" s="43" t="str">
        <x:v>R1</x:v>
      </x:c>
      <x:c r="D17" s="44"/>
      <x:c r="E17" s="43" t="str">
        <x:v>Concluída</x:v>
      </x:c>
      <x:c r="F17" s="43" t="str">
        <x:v>Doc #34</x:v>
      </x:c>
      <x:c r="G17" s="1"/>
      <x:c r="H17" s="24"/>
      <x:c r="I17" s="50" t="str">
        <x:f>IF(OR(H17="",$A$6="",$B$6="",$C$6=""),"",MAX(0,$C$6-($C$6*(H17-$A$6)/($B$6-$A$6))))</x:f>
      </x:c>
      <x:c r="J17" s="26"/>
      <x:c r="K17" s="1"/>
      <x:c r="L17" s="1"/>
      <x:c r="M17" s="1"/>
      <x:c r="N17" s="1"/>
      <x:c r="O17" s="1"/>
      <x:c r="P17" s="1"/>
      <x:c r="Q17" s="1"/>
    </x:row>
    <x:row r="18" ht="28" customHeight="1">
      <x:c r="A18" s="43" t="str">
        <x:v>#35</x:v>
      </x:c>
      <x:c r="B18" s="43" t="str">
        <x:v>[Produto] Compra de item na loja</x:v>
      </x:c>
      <x:c r="C18" s="43" t="str">
        <x:v>R1</x:v>
      </x:c>
      <x:c r="D18" s="44"/>
      <x:c r="E18" s="43" t="str">
        <x:v>Concluída</x:v>
      </x:c>
      <x:c r="F18" s="43" t="str">
        <x:v>Doc #35</x:v>
      </x:c>
      <x:c r="G18" s="1"/>
      <x:c r="H18" s="24"/>
      <x:c r="I18" s="50" t="str">
        <x:f>IF(OR(H18="",$A$6="",$B$6="",$C$6=""),"",MAX(0,$C$6-($C$6*(H18-$A$6)/($B$6-$A$6))))</x:f>
      </x:c>
      <x:c r="J18" s="26"/>
      <x:c r="K18" s="1"/>
      <x:c r="L18" s="1"/>
      <x:c r="M18" s="1"/>
      <x:c r="N18" s="1"/>
      <x:c r="O18" s="1"/>
      <x:c r="P18" s="1"/>
      <x:c r="Q18" s="1"/>
    </x:row>
    <x:row r="19" ht="28" customHeight="1">
      <x:c r="A19" s="43" t="str">
        <x:v>#38</x:v>
      </x:c>
      <x:c r="B19" s="43" t="str">
        <x:v>[Produto] Uso de potencializador</x:v>
      </x:c>
      <x:c r="C19" s="43" t="str">
        <x:v>R1</x:v>
      </x:c>
      <x:c r="D19" s="44"/>
      <x:c r="E19" s="43" t="str">
        <x:v>Concluída</x:v>
      </x:c>
      <x:c r="F19" s="43" t="str">
        <x:v>Doc #38</x:v>
      </x:c>
      <x:c r="G19" s="1"/>
      <x:c r="H19" s="24"/>
      <x:c r="I19" s="50" t="str">
        <x:f>IF(OR(H19="",$A$6="",$B$6="",$C$6=""),"",MAX(0,$C$6-($C$6*(H19-$A$6)/($B$6-$A$6))))</x:f>
      </x:c>
      <x:c r="J19" s="26"/>
      <x:c r="K19" s="1"/>
      <x:c r="L19" s="1"/>
      <x:c r="M19" s="1"/>
      <x:c r="N19" s="1"/>
      <x:c r="O19" s="1"/>
      <x:c r="P19" s="1"/>
      <x:c r="Q19" s="1"/>
    </x:row>
    <x:row r="20" ht="28" customHeight="1">
      <x:c r="A20" s="43" t="str">
        <x:v>#40</x:v>
      </x:c>
      <x:c r="B20" s="43" t="str">
        <x:v>[Produto] Histórico e qualidade</x:v>
      </x:c>
      <x:c r="C20" s="43" t="str">
        <x:v>R1</x:v>
      </x:c>
      <x:c r="D20" s="44"/>
      <x:c r="E20" s="43" t="str">
        <x:v>Concluída</x:v>
      </x:c>
      <x:c r="F20" s="43" t="str">
        <x:v>Doc #40</x:v>
      </x:c>
      <x:c r="G20" s="1"/>
      <x:c r="H20" s="24"/>
      <x:c r="I20" s="50" t="str">
        <x:f>IF(OR(H20="",$A$6="",$B$6="",$C$6=""),"",MAX(0,$C$6-($C$6*(H20-$A$6)/($B$6-$A$6))))</x:f>
      </x:c>
      <x:c r="J20" s="26"/>
      <x:c r="K20" s="1"/>
      <x:c r="L20" s="1"/>
      <x:c r="M20" s="1"/>
      <x:c r="N20" s="1"/>
      <x:c r="O20" s="1"/>
      <x:c r="P20" s="1"/>
      <x:c r="Q20" s="1"/>
    </x:row>
    <x:row r="21" ht="28" customHeight="1">
      <x:c r="A21" s="43" t="str">
        <x:v>#41</x:v>
      </x:c>
      <x:c r="B21" s="43" t="str">
        <x:v>[Infra] Ambiente de homologação</x:v>
      </x:c>
      <x:c r="C21" s="43" t="str">
        <x:v>R1</x:v>
      </x:c>
      <x:c r="D21" s="44"/>
      <x:c r="E21" s="43" t="str">
        <x:v>Em andamento</x:v>
      </x:c>
      <x:c r="F21" s="43" t="str">
        <x:v>Doc #41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8" customHeight="1">
      <x:c r="A22" s="43"/>
      <x:c r="B22" s="43"/>
      <x:c r="C22" s="43"/>
      <x:c r="D22" s="44"/>
      <x:c r="E22" s="43"/>
      <x:c r="F22" s="43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8" customHeight="1">
      <x:c r="A23" s="43"/>
      <x:c r="B23" s="43"/>
      <x:c r="C23" s="43"/>
      <x:c r="D23" s="44"/>
      <x:c r="E23" s="43"/>
      <x:c r="F23" s="43"/>
      <x:c r="G23" s="1"/>
      <x:c r="H23" s="28" t="str">
        <x:v>Riscos e impedimentos</x:v>
      </x:c>
      <x:c r="I23" s="28"/>
      <x:c r="J23" s="28"/>
      <x:c r="K23" s="28"/>
      <x:c r="L23" s="28"/>
      <x:c r="M23" s="1"/>
      <x:c r="N23" s="1"/>
      <x:c r="O23" s="1"/>
      <x:c r="P23" s="1"/>
      <x:c r="Q23" s="1"/>
    </x:row>
    <x:row r="24" ht="30" customHeight="1">
      <x:c r="A24" s="43"/>
      <x:c r="B24" s="43"/>
      <x:c r="C24" s="43"/>
      <x:c r="D24" s="44"/>
      <x:c r="E24" s="43"/>
      <x:c r="F24" s="43"/>
      <x:c r="G24" s="1"/>
      <x:c r="H24" s="10" t="str">
        <x:v>Data</x:v>
      </x:c>
      <x:c r="I24" s="10" t="str">
        <x:v>Risco ou impedimento</x:v>
      </x:c>
      <x:c r="J24" s="10" t="str">
        <x:v>Impacto</x:v>
      </x:c>
      <x:c r="K24" s="10" t="str">
        <x:v>Responsável</x:v>
      </x:c>
      <x:c r="L24" s="10" t="str">
        <x:v>Status</x:v>
      </x:c>
      <x:c r="M24" s="1"/>
      <x:c r="N24" s="1"/>
      <x:c r="O24" s="1"/>
      <x:c r="P24" s="1"/>
      <x:c r="Q24" s="1"/>
    </x:row>
    <x:row r="25" ht="30" customHeight="1">
      <x:c r="A25" s="43"/>
      <x:c r="B25" s="43"/>
      <x:c r="C25" s="43"/>
      <x:c r="D25" s="44"/>
      <x:c r="E25" s="43"/>
      <x:c r="F25" s="43"/>
      <x:c r="G25" s="1"/>
      <x:c r="H25" s="54" t="n">
        <x:v>46276</x:v>
      </x:c>
      <x:c r="I25" s="43" t="str">
        <x:v>Backlog do produto (#6) ainda está aberto</x:v>
      </x:c>
      <x:c r="J25" s="43" t="str">
        <x:v>Rastreabilidade da R1</x:v>
      </x:c>
      <x:c r="K25" s="43" t="str">
        <x:v>Não definido</x:v>
      </x:c>
      <x:c r="L25" s="43" t="str">
        <x:v>Aberto</x:v>
      </x:c>
      <x:c r="M25" s="1"/>
      <x:c r="N25" s="1"/>
      <x:c r="O25" s="1"/>
      <x:c r="P25" s="1"/>
      <x:c r="Q25" s="1"/>
    </x:row>
    <x:row r="26" ht="30" customHeight="1">
      <x:c r="A26" s="43"/>
      <x:c r="B26" s="43"/>
      <x:c r="C26" s="43"/>
      <x:c r="D26" s="44"/>
      <x:c r="E26" s="43"/>
      <x:c r="F26" s="43"/>
      <x:c r="G26" s="1"/>
      <x:c r="H26" s="54" t="n">
        <x:v>46276</x:v>
      </x:c>
      <x:c r="I26" s="43" t="str">
        <x:v>Metodologia de desenvolvimento (#8) ainda está aberta</x:v>
      </x:c>
      <x:c r="J26" s="43" t="str">
        <x:v>Evidência de processo</x:v>
      </x:c>
      <x:c r="K26" s="43" t="str">
        <x:v>Gabriel Freitas</x:v>
      </x:c>
      <x:c r="L26" s="43" t="str">
        <x:v>Aberto</x:v>
      </x:c>
      <x:c r="M26" s="1"/>
      <x:c r="N26" s="1"/>
      <x:c r="O26" s="1"/>
      <x:c r="P26" s="1"/>
      <x:c r="Q26" s="1"/>
    </x:row>
    <x:row r="27" ht="30" customHeight="1">
      <x:c r="A27" s="43"/>
      <x:c r="B27" s="43"/>
      <x:c r="C27" s="43"/>
      <x:c r="D27" s="44"/>
      <x:c r="E27" s="43"/>
      <x:c r="F27" s="43"/>
      <x:c r="G27" s="1"/>
      <x:c r="H27" s="54" t="n">
        <x:v>46276</x:v>
      </x:c>
      <x:c r="I27" s="43" t="str">
        <x:v>Quadro de conhecimento e tecnologias (#9) ainda está aberto</x:v>
      </x:c>
      <x:c r="J27" s="43" t="str">
        <x:v>Alinhamento técnico</x:v>
      </x:c>
      <x:c r="K27" s="43" t="str">
        <x:v>João Lucas</x:v>
      </x:c>
      <x:c r="L27" s="43" t="str">
        <x:v>Aberto</x:v>
      </x:c>
      <x:c r="M27" s="1"/>
      <x:c r="N27" s="1"/>
      <x:c r="O27" s="1"/>
      <x:c r="P27" s="1"/>
      <x:c r="Q27" s="1"/>
    </x:row>
    <x:row r="28" ht="30" customHeight="1">
      <x:c r="A28" s="43"/>
      <x:c r="B28" s="43"/>
      <x:c r="C28" s="43"/>
      <x:c r="D28" s="44"/>
      <x:c r="E28" s="43"/>
      <x:c r="F28" s="43"/>
      <x:c r="G28" s="1"/>
      <x:c r="H28" s="54" t="n">
        <x:v>46288</x:v>
      </x:c>
      <x:c r="I28" s="43" t="str">
        <x:v>Personalização de roupa do avatar (#33) ainda está aberta</x:v>
      </x:c>
      <x:c r="J28" s="43" t="str">
        <x:v>Escopo do avatar</x:v>
      </x:c>
      <x:c r="K28" s="43" t="str">
        <x:v>Gabriel Freitas</x:v>
      </x:c>
      <x:c r="L28" s="43" t="str">
        <x:v>Aberto</x:v>
      </x:c>
      <x:c r="M28" s="1"/>
      <x:c r="N28" s="1"/>
      <x:c r="O28" s="1"/>
      <x:c r="P28" s="1"/>
      <x:c r="Q28" s="1"/>
    </x:row>
    <x:row r="29" ht="30" customHeight="1">
      <x:c r="A29" s="43"/>
      <x:c r="B29" s="43"/>
      <x:c r="C29" s="43"/>
      <x:c r="D29" s="44"/>
      <x:c r="E29" s="43"/>
      <x:c r="F29" s="43"/>
      <x:c r="G29" s="1"/>
      <x:c r="H29" s="54" t="n">
        <x:v>46288</x:v>
      </x:c>
      <x:c r="I29" s="43" t="str">
        <x:v>Ambiente de homologação (#41) ainda está aberto</x:v>
      </x:c>
      <x:c r="J29" s="43" t="str">
        <x:v>Validação integrada</x:v>
      </x:c>
      <x:c r="K29" s="43" t="str">
        <x:v>Letícia Torres / Caio Habibe</x:v>
      </x:c>
      <x:c r="L29" s="43" t="str">
        <x:v>Aberto</x:v>
      </x:c>
      <x:c r="M29" s="1"/>
      <x:c r="N29" s="1"/>
      <x:c r="O29" s="1"/>
      <x:c r="P29" s="1"/>
      <x:c r="Q29" s="1"/>
    </x:row>
    <x:row r="30" ht="30" customHeight="1">
      <x:c r="A30" s="43"/>
      <x:c r="B30" s="43"/>
      <x:c r="C30" s="43"/>
      <x:c r="D30" s="44"/>
      <x:c r="E30" s="43"/>
      <x:c r="F30" s="43"/>
      <x:c r="G30" s="1"/>
      <x:c r="H30" s="54"/>
      <x:c r="I30" s="43"/>
      <x:c r="J30" s="43"/>
      <x:c r="K30" s="43"/>
      <x:c r="L30" s="43"/>
      <x:c r="M30" s="1"/>
      <x:c r="N30" s="1"/>
      <x:c r="O30" s="1"/>
      <x:c r="P30" s="1"/>
      <x:c r="Q30" s="1"/>
    </x:row>
    <x:row r="31" ht="30" customHeight="1">
      <x:c r="A31" s="1"/>
      <x:c r="B31" s="1"/>
      <x:c r="C31" s="1"/>
      <x:c r="D31" s="1"/>
      <x:c r="E31" s="1"/>
      <x:c r="F31" s="1"/>
      <x:c r="G31" s="1"/>
      <x:c r="H31" s="54"/>
      <x:c r="I31" s="43"/>
      <x:c r="J31" s="43"/>
      <x:c r="K31" s="43"/>
      <x:c r="L31" s="43"/>
      <x:c r="M31" s="1"/>
      <x:c r="N31" s="1"/>
      <x:c r="O31" s="1"/>
      <x:c r="P31" s="1"/>
      <x:c r="Q31" s="1"/>
    </x:row>
    <x:row r="32" ht="30" customHeight="1">
      <x:c r="A32" s="1"/>
      <x:c r="B32" s="1"/>
      <x:c r="C32" s="1"/>
      <x:c r="D32" s="1"/>
      <x:c r="E32" s="1"/>
      <x:c r="F32" s="1"/>
      <x:c r="G32" s="1"/>
      <x:c r="H32" s="54"/>
      <x:c r="I32" s="43"/>
      <x:c r="J32" s="43"/>
      <x:c r="K32" s="43"/>
      <x:c r="L32" s="43"/>
      <x:c r="M32" s="1"/>
      <x:c r="N32" s="1"/>
      <x:c r="O32" s="1"/>
      <x:c r="P32" s="1"/>
      <x:c r="Q32" s="1"/>
    </x:row>
    <x:row r="33" ht="30" customHeight="1">
      <x:c r="A33" s="1"/>
      <x:c r="B33" s="1"/>
      <x:c r="C33" s="1"/>
      <x:c r="D33" s="1"/>
      <x:c r="E33" s="1"/>
      <x:c r="F33" s="1"/>
      <x:c r="G33" s="1"/>
      <x:c r="H33" s="54"/>
      <x:c r="I33" s="43"/>
      <x:c r="J33" s="43"/>
      <x:c r="K33" s="43"/>
      <x:c r="L33" s="43"/>
      <x:c r="M33" s="1"/>
      <x:c r="N33" s="1"/>
      <x:c r="O33" s="1"/>
      <x:c r="P33" s="1"/>
      <x:c r="Q33" s="1"/>
    </x:row>
    <x:row r="34" ht="30" customHeight="1">
      <x:c r="A34" s="1"/>
      <x:c r="B34" s="1"/>
      <x:c r="C34" s="1"/>
      <x:c r="D34" s="1"/>
      <x:c r="E34" s="1"/>
      <x:c r="F34" s="1"/>
      <x:c r="G34" s="1"/>
      <x:c r="H34" s="54"/>
      <x:c r="I34" s="43"/>
      <x:c r="J34" s="43"/>
      <x:c r="K34" s="43"/>
      <x:c r="L34" s="43"/>
      <x:c r="M34" s="1"/>
      <x:c r="N34" s="1"/>
      <x:c r="O34" s="1"/>
      <x:c r="P34" s="1"/>
      <x:c r="Q34" s="1"/>
    </x:row>
    <x:row r="35" ht="22" customHeight="1">
      <x:c r="A35" s="58" t="str">
        <x:v>Como atualizar
1. Atualize o status das issues quando houver mudança.
2. Registre pontos apenas se a equipe fizer estimativas.
3. Informe diariamente os pontos restantes no burndown, se esse histórico existir.
4. Registre riscos e impedimentos enquanto estiverem abertos.</x:v>
      </x:c>
      <x:c r="B35" s="59"/>
      <x:c r="C35" s="59"/>
      <x:c r="D35" s="59"/>
      <x:c r="E35" s="59"/>
      <x:c r="F35" s="60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61"/>
      <x:c r="B36" s="1"/>
      <x:c r="C36" s="1"/>
      <x:c r="D36" s="1"/>
      <x:c r="E36" s="1"/>
      <x:c r="F36" s="62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63"/>
      <x:c r="B37" s="64"/>
      <x:c r="C37" s="64"/>
      <x:c r="D37" s="64"/>
      <x:c r="E37" s="64"/>
      <x:c r="F37" s="65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</x:sheetData>
  <x:mergeCells>
    <x:mergeCell ref="A2:F2"/>
    <x:mergeCell ref="A3:F3"/>
    <x:mergeCell ref="A9:F9"/>
    <x:mergeCell ref="H2:J2"/>
    <x:mergeCell ref="H3:J3"/>
    <x:mergeCell ref="H23:L23"/>
    <x:mergeCell ref="A35:F37"/>
  </x:mergeCells>
  <x:conditionalFormatting sqref="L25:L34">
    <x:cfRule type="cellIs" dxfId="0" priority="1" operator="equal">
      <x:formula>"Aberto"</x:formula>
    </x:cfRule>
  </x:conditionalFormatting>
  <x:dataValidations count="2">
    <x:dataValidation type="list" sqref="E11:E30">
      <x:formula1>"Não iniciada,Em andamento,Concluída,Bloqueada"</x:formula1>
    </x:dataValidation>
    <x:dataValidation type="list" sqref="L25:L34">
      <x:formula1>"Aberto,Em acompanhamento,Resolvido"</x:formula1>
    </x:dataValidation>
  </x:dataValidations>
  <x:pageMargins left="0.7" right="0.7" top="0.75" bottom="0.75" header="0.3" footer="0.3"/>
</x:worksheet>
</file>