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âmetros" sheetId="1" state="visible" r:id="rId3"/>
    <sheet name="Custo por integrante" sheetId="2" state="visible" r:id="rId4"/>
    <sheet name="Orçamento" sheetId="3" state="visible" r:id="rId5"/>
    <sheet name="Horas" sheetId="4" state="visible" r:id="rId6"/>
    <sheet name="AgileEVM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<sst xmlns="http://schemas.openxmlformats.org/spreadsheetml/2006/main" count="532" uniqueCount="177">
  <si>
    <t xml:space="preserve">Parâmetro</t>
  </si>
  <si>
    <t xml:space="preserve">Valor</t>
  </si>
  <si>
    <t xml:space="preserve">Unidade</t>
  </si>
  <si>
    <t xml:space="preserve">Fonte / fórmula</t>
  </si>
  <si>
    <t xml:space="preserve">Custo médio anual por aluno de universidade federal (2023)</t>
  </si>
  <si>
    <t xml:space="preserve">R$/ano</t>
  </si>
  <si>
    <t xml:space="preserve">MEC, ano-base 2023 (Poder360, 2025)</t>
  </si>
  <si>
    <t xml:space="preserve">Fator do IPCA acumulado de jan/2024 a set/2026</t>
  </si>
  <si>
    <t xml:space="preserve">fator</t>
  </si>
  <si>
    <t xml:space="preserve">Série 433 do Banco Central, consulta em 25/10/2026</t>
  </si>
  <si>
    <t xml:space="preserve">Custo anual por aluno corrigido para 2026</t>
  </si>
  <si>
    <t xml:space="preserve">custo de 2023 × fator do IPCA</t>
  </si>
  <si>
    <t xml:space="preserve">Créditos cursados por ano</t>
  </si>
  <si>
    <t xml:space="preserve">créditos</t>
  </si>
  <si>
    <t xml:space="preserve">232 créditos do fluxo de Engenharia de Software em 10 semestres</t>
  </si>
  <si>
    <t xml:space="preserve">Custo por crédito</t>
  </si>
  <si>
    <t xml:space="preserve">R$</t>
  </si>
  <si>
    <t xml:space="preserve">custo anual corrigido ÷ créditos por ano</t>
  </si>
  <si>
    <t xml:space="preserve">Créditos da disciplina (FGA0206)</t>
  </si>
  <si>
    <t xml:space="preserve">2 teóricos e 2 práticos, 60 h; 2 deles de extensão</t>
  </si>
  <si>
    <t xml:space="preserve">Custo da disciplina por estudante</t>
  </si>
  <si>
    <t xml:space="preserve">custo por crédito × créditos</t>
  </si>
  <si>
    <t xml:space="preserve">Semanas do semestre</t>
  </si>
  <si>
    <t xml:space="preserve">semanas</t>
  </si>
  <si>
    <t xml:space="preserve">Cronograma da disciplina (10/08 a 14/12/2026)</t>
  </si>
  <si>
    <t xml:space="preserve">Custo semanal da disciplina por estudante</t>
  </si>
  <si>
    <t xml:space="preserve">R$/semana</t>
  </si>
  <si>
    <t xml:space="preserve">custo da disciplina ÷ semanas</t>
  </si>
  <si>
    <t xml:space="preserve">Carga semanal por integrante</t>
  </si>
  <si>
    <t xml:space="preserve">h/semana</t>
  </si>
  <si>
    <t xml:space="preserve">4,5 h de cerimônias e 7,5 h assíncronas; time 100% remoto</t>
  </si>
  <si>
    <t xml:space="preserve">Parcela síncrona da carga semanal</t>
  </si>
  <si>
    <t xml:space="preserve">Planning 1 h, review 1 h, retrospectiva 1 h e reunião com POs 1,5 h</t>
  </si>
  <si>
    <t xml:space="preserve">Tarifa de energia</t>
  </si>
  <si>
    <t xml:space="preserve">R$/kWh</t>
  </si>
  <si>
    <t xml:space="preserve">Neoenergia Brasília, REH 3.614, vigência 22/10/2026</t>
  </si>
  <si>
    <t xml:space="preserve">Consumo em hora de trabalho</t>
  </si>
  <si>
    <t xml:space="preserve">kWh/h</t>
  </si>
  <si>
    <t xml:space="preserve">Notebook em carga de desenvolvimento (~65 W) e roteador (~10 W)</t>
  </si>
  <si>
    <t xml:space="preserve">Energia por integrante</t>
  </si>
  <si>
    <t xml:space="preserve">horas de trabalho × consumo × tarifa</t>
  </si>
  <si>
    <t xml:space="preserve">Plano de internet residencial</t>
  </si>
  <si>
    <t xml:space="preserve">R$/mês</t>
  </si>
  <si>
    <t xml:space="preserve">Oi fibra (DF)</t>
  </si>
  <si>
    <t xml:space="preserve">Horas por mês para rateio da internet</t>
  </si>
  <si>
    <t xml:space="preserve">h/mês</t>
  </si>
  <si>
    <t xml:space="preserve">Mês médio real (8.766 h por ano ÷ 12)</t>
  </si>
  <si>
    <t xml:space="preserve">Internet por integrante (rateio pelas horas de projeto)</t>
  </si>
  <si>
    <t xml:space="preserve">(plano ÷ horas do mês) × horas de trabalho</t>
  </si>
  <si>
    <t xml:space="preserve">Valor de referência do notebook</t>
  </si>
  <si>
    <t xml:space="preserve">Equipamento padrão adotado pela equipe</t>
  </si>
  <si>
    <t xml:space="preserve">Valor residual do equipamento</t>
  </si>
  <si>
    <t xml:space="preserve">fração</t>
  </si>
  <si>
    <t xml:space="preserve">Regra do setor público (STN, macrofunção 020330)</t>
  </si>
  <si>
    <t xml:space="preserve">Vida útil do equipamento</t>
  </si>
  <si>
    <t xml:space="preserve">60 meses (STN, macrofunção 020330)</t>
  </si>
  <si>
    <t xml:space="preserve">Depreciação por integrante</t>
  </si>
  <si>
    <t xml:space="preserve">valor depreciável (90%) ÷ semanas de vida útil</t>
  </si>
  <si>
    <t xml:space="preserve">Cotação do dólar</t>
  </si>
  <si>
    <t xml:space="preserve">R$/US$</t>
  </si>
  <si>
    <t xml:space="preserve">AwesomeAPI, 23/10/2026</t>
  </si>
  <si>
    <t xml:space="preserve">Plano Railway Hobby</t>
  </si>
  <si>
    <t xml:space="preserve">US$/mês</t>
  </si>
  <si>
    <t xml:space="preserve">Railway, Pricing Plans</t>
  </si>
  <si>
    <t xml:space="preserve">Semanas por mês</t>
  </si>
  <si>
    <t xml:space="preserve">Média (52 ÷ 12)</t>
  </si>
  <si>
    <t xml:space="preserve">Hospedagem do projeto (Railway)</t>
  </si>
  <si>
    <t xml:space="preserve">plano × cotação ÷ semanas por mês</t>
  </si>
  <si>
    <t xml:space="preserve">Custo semanal por integrante</t>
  </si>
  <si>
    <t xml:space="preserve">disciplina + energia + internet + depreciação</t>
  </si>
  <si>
    <t xml:space="preserve">Custo-hora do estudante da UnB</t>
  </si>
  <si>
    <t xml:space="preserve">R$/h</t>
  </si>
  <si>
    <t xml:space="preserve">custo semanal por integrante ÷ carga semanal</t>
  </si>
  <si>
    <t xml:space="preserve">Horas por story point</t>
  </si>
  <si>
    <t xml:space="preserve">h/SP</t>
  </si>
  <si>
    <t xml:space="preserve">Referência da disciplina para desenvolvedor júnior</t>
  </si>
  <si>
    <t xml:space="preserve">Custo por story point</t>
  </si>
  <si>
    <t xml:space="preserve">R$/SP</t>
  </si>
  <si>
    <t xml:space="preserve">custo-hora × horas por SP</t>
  </si>
  <si>
    <t xml:space="preserve">Equipe baseline (plano do início do semestre)</t>
  </si>
  <si>
    <t xml:space="preserve">pessoas</t>
  </si>
  <si>
    <t xml:space="preserve">Levantamento de disponibilidade da primeira semana; base do PV/BAC</t>
  </si>
  <si>
    <t xml:space="preserve">Equipe efetiva atual</t>
  </si>
  <si>
    <t xml:space="preserve">Integrantes listados na documentação; base do AC</t>
  </si>
  <si>
    <t xml:space="preserve">Custo semanal do projeto (baseline)</t>
  </si>
  <si>
    <t xml:space="preserve">custo por integrante × equipe baseline + hospedagem</t>
  </si>
  <si>
    <t xml:space="preserve">Custo semanal do projeto (equipe efetiva)</t>
  </si>
  <si>
    <t xml:space="preserve">custo por integrante × equipe efetiva + hospedagem</t>
  </si>
  <si>
    <t xml:space="preserve">Semanas dentro das releases</t>
  </si>
  <si>
    <t xml:space="preserve">R1 6 + R2 4 + R3 5</t>
  </si>
  <si>
    <t xml:space="preserve">BAC do projeto (15 semanas de release)</t>
  </si>
  <si>
    <t xml:space="preserve">custo semanal baseline × semanas de release</t>
  </si>
  <si>
    <t xml:space="preserve">Componente</t>
  </si>
  <si>
    <t xml:space="preserve">Como é calculado</t>
  </si>
  <si>
    <t xml:space="preserve">Disciplina (custo do estudante para a UnB)</t>
  </si>
  <si>
    <t xml:space="preserve">Custo da disciplina por estudante ÷ 18 semanas</t>
  </si>
  <si>
    <t xml:space="preserve">Depreciação do notebook</t>
  </si>
  <si>
    <t xml:space="preserve">Valor depreciável (90% de R$ 4.047,99) ÷ 260 semanas</t>
  </si>
  <si>
    <t xml:space="preserve">Internet (rateio pelas horas de projeto)</t>
  </si>
  <si>
    <t xml:space="preserve">(Plano ÷ 730 h do mês) × 12 h por semana</t>
  </si>
  <si>
    <t xml:space="preserve">Energia</t>
  </si>
  <si>
    <t xml:space="preserve">12 h × 0,075 kWh/h × tarifa da Neoenergia</t>
  </si>
  <si>
    <t xml:space="preserve">Total por integrante</t>
  </si>
  <si>
    <t xml:space="preserve">soma dos componentes</t>
  </si>
  <si>
    <t xml:space="preserve">Custo-hora</t>
  </si>
  <si>
    <t xml:space="preserve">total por integrante ÷ 12 h por semana</t>
  </si>
  <si>
    <t xml:space="preserve">custo-hora × 8 h por SP</t>
  </si>
  <si>
    <t xml:space="preserve">Hospedagem (Railway, custo do projeto)</t>
  </si>
  <si>
    <t xml:space="preserve">US$ 5,00/mês convertidos e rateados por semana</t>
  </si>
  <si>
    <t xml:space="preserve">Custo semanal do projeto (baseline, 13)</t>
  </si>
  <si>
    <t xml:space="preserve">total por integrante × 13 + hospedagem</t>
  </si>
  <si>
    <t xml:space="preserve">Custo semanal do projeto (equipe efetiva, 11)</t>
  </si>
  <si>
    <t xml:space="preserve">total por integrante × 11 + hospedagem</t>
  </si>
  <si>
    <t xml:space="preserve">Release</t>
  </si>
  <si>
    <t xml:space="preserve">Período</t>
  </si>
  <si>
    <t xml:space="preserve">Semanas</t>
  </si>
  <si>
    <t xml:space="preserve">Horas planejadas (baseline)</t>
  </si>
  <si>
    <t xml:space="preserve">BAC (R$)</t>
  </si>
  <si>
    <t xml:space="preserve">R1</t>
  </si>
  <si>
    <t xml:space="preserve">17/08 a 27/09/2026</t>
  </si>
  <si>
    <t xml:space="preserve">R2</t>
  </si>
  <si>
    <t xml:space="preserve">28/09 a 25/10/2026</t>
  </si>
  <si>
    <t xml:space="preserve">R3</t>
  </si>
  <si>
    <t xml:space="preserve">26/10 a 29/11/2026</t>
  </si>
  <si>
    <t xml:space="preserve">Subtotal das releases</t>
  </si>
  <si>
    <t xml:space="preserve">Semanas fora das releases (preparação e encerramento)</t>
  </si>
  <si>
    <t xml:space="preserve">10/08 a 16/08 e 30/11 a 14/12</t>
  </si>
  <si>
    <t xml:space="preserve">Total do semestre</t>
  </si>
  <si>
    <t xml:space="preserve">O BAC de cada release é o custo semanal do projeto, com a baseline de 13 integrantes, multiplicado pelas semanas da release. As datas seguem o roadmap.</t>
  </si>
  <si>
    <t xml:space="preserve">Integrante</t>
  </si>
  <si>
    <t xml:space="preserve">Sprint</t>
  </si>
  <si>
    <t xml:space="preserve">Horas registradas</t>
  </si>
  <si>
    <t xml:space="preserve">Arthur Fonseca Vale</t>
  </si>
  <si>
    <t xml:space="preserve">S1</t>
  </si>
  <si>
    <t xml:space="preserve">Brenno da Silva Oliveira</t>
  </si>
  <si>
    <t xml:space="preserve">Caio Falcao Habibe Costa</t>
  </si>
  <si>
    <t xml:space="preserve">Carlos Eduardo de Sousa Paz</t>
  </si>
  <si>
    <t xml:space="preserve">Gabriel Freitas Balbino</t>
  </si>
  <si>
    <t xml:space="preserve">Henrique Carvalho Neves</t>
  </si>
  <si>
    <t xml:space="preserve">Joao Lucas Araujo Siqueira</t>
  </si>
  <si>
    <t xml:space="preserve">Joao Paulo Lima da Silva</t>
  </si>
  <si>
    <t xml:space="preserve">Leonardo Sobrinho De Aguiar</t>
  </si>
  <si>
    <t xml:space="preserve">Letícia Torres Soares Martins</t>
  </si>
  <si>
    <t xml:space="preserve">Rafael Melo Matuda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</si>
  <si>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</si>
  <si>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</si>
  <si>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</si>
  <si>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</si>
  <si>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</si>
  <si>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</si>
  <si>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</si>
  <si>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</si>
  <si>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</si>
  <si>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</si>
  <si>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</si>
  <si>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</si>
  <si>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</si>
  <si>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</si>
  <si>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Pontos planejados</t>
  </si>
  <si>
    <t xml:space="preserve">Pontos concluídos</t>
  </si>
  <si>
    <t xml:space="preserve">PV (SP) acum.</t>
  </si>
  <si>
    <t xml:space="preserve">EV (SP) acum.</t>
  </si>
  <si>
    <t xml:space="preserve">Horas reais</t>
  </si>
  <si>
    <t xml:space="preserve">Horas acum.</t>
  </si>
  <si>
    <t xml:space="preserve">SPI</t>
  </si>
  <si>
    <t xml:space="preserve">PV (R$)</t>
  </si>
  <si>
    <t xml:space="preserve">EV (R$)</t>
  </si>
  <si>
    <t xml:space="preserve">AC (R$)</t>
  </si>
  <si>
    <t xml:space="preserve">CPI</t>
  </si>
  <si>
    <t xml:space="preserve">SV (R$)</t>
  </si>
  <si>
    <t xml:space="preserve">CV (R$)</t>
  </si>
  <si>
    <t xml:space="preserve">EAC (R$)</t>
  </si>
  <si>
    <t xml:space="preserve">VAC (R$)</t>
  </si>
  <si>
    <t xml:space="preserve">Preencher os pontos planejados e concluídos de cada sprint pelo quadro do ZenHub e as horas de cada integrante na aba Horas.</t>
  </si>
  <si>
    <t xml:space="preserve">PV (R$) = custo semanal do projeto (baseline de 13) × sprints decorridas. EV (R$) = SPI × PV (R$). AC (R$) = horas reais acumuladas × custo-hora.</t>
  </si>
  <si>
    <t xml:space="preserve">Sem horas registradas o AC fica em branco e o CPI não é calculado. O AC nunca é substituído pelo custo planejado.</t>
  </si>
  <si>
    <t xml:space="preserve">Método: AgileEVM (Sulaiman, Barton e Blackburn, 2006). Os pontos planejados da release são congelados na planning; o escopo que entra depois aparece como ponto adicionado.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</si>
</sst>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0.00"/>
    <numFmt numFmtId="167" formatCode="0"/>
    <numFmt numFmtId="168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595959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52533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3" t="n">
        <v>1.136206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10</v>
      </c>
      <c r="B4" s="2" t="n">
        <f aca="false">$B$2*$B$3</f>
        <v>59688.309798</v>
      </c>
      <c r="C4" s="0" t="s">
        <v>5</v>
      </c>
      <c r="D4" s="0" t="s">
        <v>11</v>
      </c>
    </row>
    <row r="5" customFormat="false" ht="15" hidden="false" customHeight="false" outlineLevel="0" collapsed="false">
      <c r="A5" s="0" t="s">
        <v>12</v>
      </c>
      <c r="B5" s="3" t="n">
        <v>46.4</v>
      </c>
      <c r="C5" s="0" t="s">
        <v>13</v>
      </c>
      <c r="D5" s="0" t="s">
        <v>14</v>
      </c>
    </row>
    <row r="6" customFormat="false" ht="15" hidden="false" customHeight="false" outlineLevel="0" collapsed="false">
      <c r="A6" s="0" t="s">
        <v>15</v>
      </c>
      <c r="B6" s="2" t="n">
        <f aca="false">$B$4/$B$5</f>
        <v>1286.38598702586</v>
      </c>
      <c r="C6" s="0" t="s">
        <v>16</v>
      </c>
      <c r="D6" s="0" t="s">
        <v>17</v>
      </c>
    </row>
    <row r="7" customFormat="false" ht="15" hidden="false" customHeight="false" outlineLevel="0" collapsed="false">
      <c r="A7" s="0" t="s">
        <v>18</v>
      </c>
      <c r="B7" s="4" t="n">
        <v>4</v>
      </c>
      <c r="C7" s="0" t="s">
        <v>13</v>
      </c>
      <c r="D7" s="0" t="s">
        <v>19</v>
      </c>
    </row>
    <row r="8" customFormat="false" ht="15" hidden="false" customHeight="false" outlineLevel="0" collapsed="false">
      <c r="A8" s="0" t="s">
        <v>20</v>
      </c>
      <c r="B8" s="2" t="n">
        <f aca="false">$B$6*$B$7</f>
        <v>5145.54394810345</v>
      </c>
      <c r="C8" s="0" t="s">
        <v>16</v>
      </c>
      <c r="D8" s="0" t="s">
        <v>21</v>
      </c>
    </row>
    <row r="9" customFormat="false" ht="15" hidden="false" customHeight="false" outlineLevel="0" collapsed="false">
      <c r="A9" s="0" t="s">
        <v>22</v>
      </c>
      <c r="B9" s="4" t="n">
        <v>18</v>
      </c>
      <c r="C9" s="0" t="s">
        <v>23</v>
      </c>
      <c r="D9" s="0" t="s">
        <v>24</v>
      </c>
    </row>
    <row r="10" customFormat="false" ht="15" hidden="false" customHeight="false" outlineLevel="0" collapsed="false">
      <c r="A10" s="0" t="s">
        <v>25</v>
      </c>
      <c r="B10" s="2" t="n">
        <f aca="false">$B$8/$B$9</f>
        <v>285.863552672414</v>
      </c>
      <c r="C10" s="0" t="s">
        <v>26</v>
      </c>
      <c r="D10" s="0" t="s">
        <v>27</v>
      </c>
    </row>
    <row r="11" customFormat="false" ht="15" hidden="false" customHeight="false" outlineLevel="0" collapsed="false">
      <c r="A11" s="0" t="s">
        <v>28</v>
      </c>
      <c r="B11" s="4" t="n">
        <v>12</v>
      </c>
      <c r="C11" s="0" t="s">
        <v>29</v>
      </c>
      <c r="D11" s="0" t="s">
        <v>30</v>
      </c>
    </row>
    <row r="12" customFormat="false" ht="15" hidden="false" customHeight="false" outlineLevel="0" collapsed="false">
      <c r="A12" s="0" t="s">
        <v>31</v>
      </c>
      <c r="B12" s="3" t="n">
        <v>4.5</v>
      </c>
      <c r="C12" s="0" t="s">
        <v>29</v>
      </c>
      <c r="D12" s="0" t="s">
        <v>32</v>
      </c>
    </row>
    <row r="13" customFormat="false" ht="15" hidden="false" customHeight="false" outlineLevel="0" collapsed="false">
      <c r="A13" s="0" t="s">
        <v>33</v>
      </c>
      <c r="B13" s="2" t="n">
        <v>0.83429</v>
      </c>
      <c r="C13" s="0" t="s">
        <v>34</v>
      </c>
      <c r="D13" s="0" t="s">
        <v>35</v>
      </c>
    </row>
    <row r="14" customFormat="false" ht="15" hidden="false" customHeight="false" outlineLevel="0" collapsed="false">
      <c r="A14" s="0" t="s">
        <v>36</v>
      </c>
      <c r="B14" s="3" t="n">
        <v>0.075</v>
      </c>
      <c r="C14" s="0" t="s">
        <v>37</v>
      </c>
      <c r="D14" s="0" t="s">
        <v>38</v>
      </c>
    </row>
    <row r="15" customFormat="false" ht="15" hidden="false" customHeight="false" outlineLevel="0" collapsed="false">
      <c r="A15" s="0" t="s">
        <v>39</v>
      </c>
      <c r="B15" s="2" t="n">
        <f aca="false">$B$11*$B$14*$B$13</f>
        <v>0.750861</v>
      </c>
      <c r="C15" s="0" t="s">
        <v>26</v>
      </c>
      <c r="D15" s="0" t="s">
        <v>40</v>
      </c>
    </row>
    <row r="16" customFormat="false" ht="15" hidden="false" customHeight="false" outlineLevel="0" collapsed="false">
      <c r="A16" s="0" t="s">
        <v>41</v>
      </c>
      <c r="B16" s="2" t="n">
        <v>99.9</v>
      </c>
      <c r="C16" s="0" t="s">
        <v>42</v>
      </c>
      <c r="D16" s="0" t="s">
        <v>43</v>
      </c>
    </row>
    <row r="17" customFormat="false" ht="15" hidden="false" customHeight="false" outlineLevel="0" collapsed="false">
      <c r="A17" s="0" t="s">
        <v>44</v>
      </c>
      <c r="B17" s="4" t="n">
        <v>730</v>
      </c>
      <c r="C17" s="0" t="s">
        <v>45</v>
      </c>
      <c r="D17" s="0" t="s">
        <v>46</v>
      </c>
    </row>
    <row r="18" customFormat="false" ht="15" hidden="false" customHeight="false" outlineLevel="0" collapsed="false">
      <c r="A18" s="0" t="s">
        <v>47</v>
      </c>
      <c r="B18" s="2" t="n">
        <f aca="false">$B$16/$B$17*$B$11</f>
        <v>1.64219178082192</v>
      </c>
      <c r="C18" s="0" t="s">
        <v>26</v>
      </c>
      <c r="D18" s="0" t="s">
        <v>48</v>
      </c>
    </row>
    <row r="19" customFormat="false" ht="15" hidden="false" customHeight="false" outlineLevel="0" collapsed="false">
      <c r="A19" s="0" t="s">
        <v>49</v>
      </c>
      <c r="B19" s="2" t="n">
        <v>4047.99</v>
      </c>
      <c r="C19" s="0" t="s">
        <v>16</v>
      </c>
      <c r="D19" s="0" t="s">
        <v>50</v>
      </c>
    </row>
    <row r="20" customFormat="false" ht="15" hidden="false" customHeight="false" outlineLevel="0" collapsed="false">
      <c r="A20" s="0" t="s">
        <v>51</v>
      </c>
      <c r="B20" s="3" t="n">
        <v>0.1</v>
      </c>
      <c r="C20" s="0" t="s">
        <v>52</v>
      </c>
      <c r="D20" s="0" t="s">
        <v>53</v>
      </c>
    </row>
    <row r="21" customFormat="false" ht="15" hidden="false" customHeight="false" outlineLevel="0" collapsed="false">
      <c r="A21" s="0" t="s">
        <v>54</v>
      </c>
      <c r="B21" s="4" t="n">
        <v>260</v>
      </c>
      <c r="C21" s="0" t="s">
        <v>23</v>
      </c>
      <c r="D21" s="0" t="s">
        <v>55</v>
      </c>
    </row>
    <row r="22" customFormat="false" ht="15" hidden="false" customHeight="false" outlineLevel="0" collapsed="false">
      <c r="A22" s="0" t="s">
        <v>56</v>
      </c>
      <c r="B22" s="2" t="n">
        <f aca="false">$B$19*(1-$B$20)/$B$21</f>
        <v>14.0122730769231</v>
      </c>
      <c r="C22" s="0" t="s">
        <v>26</v>
      </c>
      <c r="D22" s="0" t="s">
        <v>57</v>
      </c>
    </row>
    <row r="23" customFormat="false" ht="15" hidden="false" customHeight="false" outlineLevel="0" collapsed="false">
      <c r="A23" s="0" t="s">
        <v>58</v>
      </c>
      <c r="B23" s="2" t="n">
        <v>4.9652</v>
      </c>
      <c r="C23" s="0" t="s">
        <v>59</v>
      </c>
      <c r="D23" s="0" t="s">
        <v>60</v>
      </c>
    </row>
    <row r="24" customFormat="false" ht="15" hidden="false" customHeight="false" outlineLevel="0" collapsed="false">
      <c r="A24" s="0" t="s">
        <v>61</v>
      </c>
      <c r="B24" s="3" t="n">
        <v>5</v>
      </c>
      <c r="C24" s="0" t="s">
        <v>62</v>
      </c>
      <c r="D24" s="0" t="s">
        <v>63</v>
      </c>
    </row>
    <row r="25" customFormat="false" ht="15" hidden="false" customHeight="false" outlineLevel="0" collapsed="false">
      <c r="A25" s="0" t="s">
        <v>64</v>
      </c>
      <c r="B25" s="3" t="n">
        <v>4.33</v>
      </c>
      <c r="C25" s="0" t="s">
        <v>23</v>
      </c>
      <c r="D25" s="0" t="s">
        <v>65</v>
      </c>
    </row>
    <row r="26" customFormat="false" ht="15" hidden="false" customHeight="false" outlineLevel="0" collapsed="false">
      <c r="A26" s="0" t="s">
        <v>66</v>
      </c>
      <c r="B26" s="2" t="n">
        <f aca="false">$B$24*$B$23/$B$25</f>
        <v>5.73348729792148</v>
      </c>
      <c r="C26" s="0" t="s">
        <v>26</v>
      </c>
      <c r="D26" s="0" t="s">
        <v>67</v>
      </c>
    </row>
    <row r="27" customFormat="false" ht="15" hidden="false" customHeight="false" outlineLevel="0" collapsed="false">
      <c r="A27" s="5" t="s">
        <v>68</v>
      </c>
      <c r="B27" s="2" t="n">
        <f aca="false">$B$10+$B$15+$B$18+$B$22</f>
        <v>302.268878530159</v>
      </c>
      <c r="C27" s="0" t="s">
        <v>26</v>
      </c>
      <c r="D27" s="0" t="s">
        <v>69</v>
      </c>
    </row>
    <row r="28" customFormat="false" ht="15" hidden="false" customHeight="false" outlineLevel="0" collapsed="false">
      <c r="A28" s="5" t="s">
        <v>70</v>
      </c>
      <c r="B28" s="2" t="n">
        <f aca="false">$B$27/$B$11</f>
        <v>25.1890732108466</v>
      </c>
      <c r="C28" s="0" t="s">
        <v>71</v>
      </c>
      <c r="D28" s="0" t="s">
        <v>72</v>
      </c>
    </row>
    <row r="29" customFormat="false" ht="15" hidden="false" customHeight="false" outlineLevel="0" collapsed="false">
      <c r="A29" s="0" t="s">
        <v>73</v>
      </c>
      <c r="B29" s="4" t="n">
        <v>8</v>
      </c>
      <c r="C29" s="0" t="s">
        <v>74</v>
      </c>
      <c r="D29" s="0" t="s">
        <v>75</v>
      </c>
    </row>
    <row r="30" customFormat="false" ht="15" hidden="false" customHeight="false" outlineLevel="0" collapsed="false">
      <c r="A30" s="5" t="s">
        <v>76</v>
      </c>
      <c r="B30" s="2" t="n">
        <f aca="false">$B$28*$B$29</f>
        <v>201.512585686773</v>
      </c>
      <c r="C30" s="0" t="s">
        <v>77</v>
      </c>
      <c r="D30" s="0" t="s">
        <v>78</v>
      </c>
    </row>
    <row r="31" customFormat="false" ht="15" hidden="false" customHeight="false" outlineLevel="0" collapsed="false">
      <c r="A31" s="0" t="s">
        <v>79</v>
      </c>
      <c r="B31" s="4" t="n">
        <v>13</v>
      </c>
      <c r="C31" s="0" t="s">
        <v>80</v>
      </c>
      <c r="D31" s="0" t="s">
        <v>81</v>
      </c>
    </row>
    <row r="32" customFormat="false" ht="15" hidden="false" customHeight="false" outlineLevel="0" collapsed="false">
      <c r="A32" s="0" t="s">
        <v>82</v>
      </c>
      <c r="B32" s="4" t="n">
        <v>11</v>
      </c>
      <c r="C32" s="0" t="s">
        <v>80</v>
      </c>
      <c r="D32" s="0" t="s">
        <v>83</v>
      </c>
    </row>
    <row r="33" customFormat="false" ht="15" hidden="false" customHeight="false" outlineLevel="0" collapsed="false">
      <c r="A33" s="5" t="s">
        <v>84</v>
      </c>
      <c r="B33" s="2" t="n">
        <f aca="false">$B$27*$B$31+$B$26</f>
        <v>3935.22890818999</v>
      </c>
      <c r="C33" s="0" t="s">
        <v>26</v>
      </c>
      <c r="D33" s="0" t="s">
        <v>85</v>
      </c>
    </row>
    <row r="34" customFormat="false" ht="15" hidden="false" customHeight="false" outlineLevel="0" collapsed="false">
      <c r="A34" s="5" t="s">
        <v>86</v>
      </c>
      <c r="B34" s="2" t="n">
        <f aca="false">$B$27*$B$32+$B$26</f>
        <v>3330.69115112967</v>
      </c>
      <c r="C34" s="0" t="s">
        <v>26</v>
      </c>
      <c r="D34" s="0" t="s">
        <v>87</v>
      </c>
    </row>
    <row r="35" customFormat="false" ht="15" hidden="false" customHeight="false" outlineLevel="0" collapsed="false">
      <c r="A35" s="0" t="s">
        <v>88</v>
      </c>
      <c r="B35" s="4" t="n">
        <v>15</v>
      </c>
      <c r="C35" s="0" t="s">
        <v>23</v>
      </c>
      <c r="D35" s="0" t="s">
        <v>89</v>
      </c>
    </row>
    <row r="36" customFormat="false" ht="15" hidden="false" customHeight="false" outlineLevel="0" collapsed="false">
      <c r="A36" s="5" t="s">
        <v>90</v>
      </c>
      <c r="B36" s="2" t="n">
        <f aca="false">$B$33*$B$35</f>
        <v>59028.4336228498</v>
      </c>
      <c r="C36" s="0" t="s">
        <v>16</v>
      </c>
      <c r="D36" s="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6.4" hidden="false" customHeight="false" outlineLevel="0" collapsed="false">
      <c r="A1" s="1" t="s">
        <v>92</v>
      </c>
      <c r="B1" s="1" t="s">
        <v>26</v>
      </c>
      <c r="C1" s="1" t="s">
        <v>93</v>
      </c>
    </row>
    <row r="2" customFormat="false" ht="15" hidden="false" customHeight="false" outlineLevel="0" collapsed="false">
      <c r="A2" s="0" t="s">
        <v>94</v>
      </c>
      <c r="B2" s="2" t="n">
        <f aca="false">Parâmetros!$B$10</f>
        <v>285.863552672414</v>
      </c>
      <c r="C2" s="0" t="s">
        <v>95</v>
      </c>
    </row>
    <row r="3" customFormat="false" ht="15" hidden="false" customHeight="false" outlineLevel="0" collapsed="false">
      <c r="A3" s="0" t="s">
        <v>96</v>
      </c>
      <c r="B3" s="2" t="n">
        <f aca="false">Parâmetros!$B$22</f>
        <v>14.0122730769231</v>
      </c>
      <c r="C3" s="0" t="s">
        <v>97</v>
      </c>
    </row>
    <row r="4" customFormat="false" ht="15" hidden="false" customHeight="false" outlineLevel="0" collapsed="false">
      <c r="A4" s="0" t="s">
        <v>98</v>
      </c>
      <c r="B4" s="2" t="n">
        <f aca="false">Parâmetros!$B$18</f>
        <v>1.64219178082192</v>
      </c>
      <c r="C4" s="0" t="s">
        <v>99</v>
      </c>
    </row>
    <row r="5" customFormat="false" ht="15" hidden="false" customHeight="false" outlineLevel="0" collapsed="false">
      <c r="A5" s="0" t="s">
        <v>100</v>
      </c>
      <c r="B5" s="2" t="n">
        <f aca="false">Parâmetros!$B$15</f>
        <v>0.750861</v>
      </c>
      <c r="C5" s="0" t="s">
        <v>101</v>
      </c>
    </row>
    <row r="6" customFormat="false" ht="15" hidden="false" customHeight="false" outlineLevel="0" collapsed="false">
      <c r="A6" s="5" t="s">
        <v>102</v>
      </c>
      <c r="B6" s="2" t="n">
        <f aca="false">Parâmetros!$B$27</f>
        <v>302.268878530159</v>
      </c>
      <c r="C6" s="0" t="s">
        <v>103</v>
      </c>
    </row>
    <row r="7" customFormat="false" ht="15" hidden="false" customHeight="false" outlineLevel="0" collapsed="false">
      <c r="A7" s="5" t="s">
        <v>104</v>
      </c>
      <c r="B7" s="2" t="n">
        <f aca="false">Parâmetros!$B$28</f>
        <v>25.1890732108466</v>
      </c>
      <c r="C7" s="0" t="s">
        <v>105</v>
      </c>
    </row>
    <row r="8" customFormat="false" ht="15" hidden="false" customHeight="false" outlineLevel="0" collapsed="false">
      <c r="A8" s="5" t="s">
        <v>76</v>
      </c>
      <c r="B8" s="2" t="n">
        <f aca="false">Parâmetros!$B$30</f>
        <v>201.512585686773</v>
      </c>
      <c r="C8" s="0" t="s">
        <v>106</v>
      </c>
    </row>
    <row r="9" customFormat="false" ht="15" hidden="false" customHeight="false" outlineLevel="0" collapsed="false">
      <c r="A9" s="0" t="s">
        <v>107</v>
      </c>
      <c r="B9" s="2" t="n">
        <f aca="false">Parâmetros!$B$26</f>
        <v>5.73348729792148</v>
      </c>
      <c r="C9" s="0" t="s">
        <v>108</v>
      </c>
    </row>
    <row r="10" customFormat="false" ht="15" hidden="false" customHeight="false" outlineLevel="0" collapsed="false">
      <c r="A10" s="5" t="s">
        <v>109</v>
      </c>
      <c r="B10" s="2" t="n">
        <f aca="false">Parâmetros!$B$33</f>
        <v>3935.22890818999</v>
      </c>
      <c r="C10" s="0" t="s">
        <v>110</v>
      </c>
    </row>
    <row r="11" customFormat="false" ht="15" hidden="false" customHeight="false" outlineLevel="0" collapsed="false">
      <c r="A11" s="5" t="s">
        <v>111</v>
      </c>
      <c r="B11" s="2" t="n">
        <f aca="false">Parâmetros!$B$34</f>
        <v>3330.69115112967</v>
      </c>
      <c r="C11" s="0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8"/>
  </cols>
  <sheetData>
    <row r="1" customFormat="false" ht="31.3" hidden="false" customHeight="false" outlineLevel="0" collapsed="false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</row>
    <row r="2" customFormat="false" ht="15" hidden="false" customHeight="false" outlineLevel="0" collapsed="false">
      <c r="A2" s="0" t="s">
        <v>118</v>
      </c>
      <c r="B2" s="0" t="s">
        <v>119</v>
      </c>
      <c r="C2" s="0" t="n">
        <v>6</v>
      </c>
      <c r="D2" s="6" t="n">
        <f aca="false">C2*Parâmetros!$B$31*Parâmetros!$B$11</f>
        <v>936</v>
      </c>
      <c r="E2" s="2" t="n">
        <f aca="false">C2*Parâmetros!$B$33</f>
        <v>23611.3734491399</v>
      </c>
    </row>
    <row r="3" customFormat="false" ht="15" hidden="false" customHeight="false" outlineLevel="0" collapsed="false">
      <c r="A3" s="0" t="s">
        <v>120</v>
      </c>
      <c r="B3" s="0" t="s">
        <v>121</v>
      </c>
      <c r="C3" s="0" t="n">
        <v>4</v>
      </c>
      <c r="D3" s="6" t="n">
        <f aca="false">C3*Parâmetros!$B$31*Parâmetros!$B$11</f>
        <v>624</v>
      </c>
      <c r="E3" s="2" t="n">
        <f aca="false">C3*Parâmetros!$B$33</f>
        <v>15740.9156327599</v>
      </c>
    </row>
    <row r="4" customFormat="false" ht="15" hidden="false" customHeight="false" outlineLevel="0" collapsed="false">
      <c r="A4" s="0" t="s">
        <v>122</v>
      </c>
      <c r="B4" s="0" t="s">
        <v>123</v>
      </c>
      <c r="C4" s="0" t="n">
        <v>5</v>
      </c>
      <c r="D4" s="6" t="n">
        <f aca="false">C4*Parâmetros!$B$31*Parâmetros!$B$11</f>
        <v>780</v>
      </c>
      <c r="E4" s="2" t="n">
        <f aca="false">C4*Parâmetros!$B$33</f>
        <v>19676.1445409499</v>
      </c>
    </row>
    <row r="5" customFormat="false" ht="15" hidden="false" customHeight="false" outlineLevel="0" collapsed="false">
      <c r="A5" s="5" t="s">
        <v>124</v>
      </c>
      <c r="B5" s="5"/>
      <c r="C5" s="5" t="n">
        <f aca="false">SUM(C2:C4)</f>
        <v>15</v>
      </c>
      <c r="D5" s="7" t="n">
        <f aca="false">SUM(D2:D4)</f>
        <v>2340</v>
      </c>
      <c r="E5" s="8" t="n">
        <f aca="false">SUM(E2:E4)</f>
        <v>59028.4336228498</v>
      </c>
    </row>
    <row r="6" customFormat="false" ht="15" hidden="false" customHeight="false" outlineLevel="0" collapsed="false">
      <c r="A6" s="0" t="s">
        <v>125</v>
      </c>
      <c r="B6" s="0" t="s">
        <v>126</v>
      </c>
      <c r="C6" s="0" t="n">
        <f aca="false">Parâmetros!$B$9-C5</f>
        <v>3</v>
      </c>
      <c r="D6" s="6" t="n">
        <f aca="false">C6*Parâmetros!$B$31*Parâmetros!$B$11</f>
        <v>468</v>
      </c>
      <c r="E6" s="2" t="n">
        <f aca="false">C6*Parâmetros!$B$33</f>
        <v>11805.68672457</v>
      </c>
    </row>
    <row r="7" customFormat="false" ht="15" hidden="false" customHeight="false" outlineLevel="0" collapsed="false">
      <c r="A7" s="5" t="s">
        <v>127</v>
      </c>
      <c r="B7" s="5"/>
      <c r="C7" s="5" t="n">
        <f aca="false">C5+C6</f>
        <v>18</v>
      </c>
      <c r="D7" s="7" t="n">
        <f aca="false">D5+D6</f>
        <v>2808</v>
      </c>
      <c r="E7" s="8" t="n">
        <f aca="false">E5+E6</f>
        <v>70834.1203474197</v>
      </c>
    </row>
    <row r="9" customFormat="false" ht="15" hidden="false" customHeight="false" outlineLevel="0" collapsed="false">
      <c r="A9" s="9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8"/>
  </cols>
  <sheetData>
    <row r="1" customFormat="false" ht="16.4" hidden="false" customHeight="false" outlineLevel="0" collapsed="false">
      <c r="A1" s="1" t="s">
        <v>129</v>
      </c>
      <c r="B1" s="1" t="s">
        <v>130</v>
      </c>
      <c r="C1" s="1" t="s">
        <v>131</v>
      </c>
    </row>
    <row r="2" customFormat="false" ht="15" hidden="false" customHeight="false" outlineLevel="0" collapsed="false">
      <c r="A2" s="0" t="s">
        <v>132</v>
      </c>
      <c r="B2" s="0" t="s">
        <v>133</v>
      </c>
    </row>
    <row r="3" customFormat="false" ht="15" hidden="false" customHeight="false" outlineLevel="0" collapsed="false">
      <c r="A3" s="0" t="s">
        <v>134</v>
      </c>
      <c r="B3" s="0" t="s">
        <v>133</v>
      </c>
    </row>
    <row r="4" customFormat="false" ht="15" hidden="false" customHeight="false" outlineLevel="0" collapsed="false">
      <c r="A4" s="0" t="s">
        <v>135</v>
      </c>
      <c r="B4" s="0" t="s">
        <v>133</v>
      </c>
    </row>
    <row r="5" customFormat="false" ht="15" hidden="false" customHeight="false" outlineLevel="0" collapsed="false">
      <c r="A5" s="0" t="s">
        <v>136</v>
      </c>
      <c r="B5" s="0" t="s">
        <v>133</v>
      </c>
    </row>
    <row r="6" customFormat="false" ht="15" hidden="false" customHeight="false" outlineLevel="0" collapsed="false">
      <c r="A6" s="0" t="s">
        <v>137</v>
      </c>
      <c r="B6" s="0" t="s">
        <v>133</v>
      </c>
    </row>
    <row r="7" customFormat="false" ht="15" hidden="false" customHeight="false" outlineLevel="0" collapsed="false">
      <c r="A7" s="0" t="s">
        <v>138</v>
      </c>
      <c r="B7" s="0" t="s">
        <v>133</v>
      </c>
    </row>
    <row r="8" customFormat="false" ht="15" hidden="false" customHeight="false" outlineLevel="0" collapsed="false">
      <c r="A8" s="0" t="s">
        <v>139</v>
      </c>
      <c r="B8" s="0" t="s">
        <v>133</v>
      </c>
    </row>
    <row r="9" customFormat="false" ht="15" hidden="false" customHeight="false" outlineLevel="0" collapsed="false">
      <c r="A9" s="0" t="s">
        <v>140</v>
      </c>
      <c r="B9" s="0" t="s">
        <v>133</v>
      </c>
    </row>
    <row r="10" customFormat="false" ht="15" hidden="false" customHeight="false" outlineLevel="0" collapsed="false">
      <c r="A10" s="0" t="s">
        <v>141</v>
      </c>
      <c r="B10" s="0" t="s">
        <v>133</v>
      </c>
    </row>
    <row r="11" customFormat="false" ht="15" hidden="false" customHeight="false" outlineLevel="0" collapsed="false">
      <c r="A11" s="0" t="s">
        <v>142</v>
      </c>
      <c r="B11" s="0" t="s">
        <v>133</v>
      </c>
    </row>
    <row r="12" customFormat="false" ht="15" hidden="false" customHeight="false" outlineLevel="0" collapsed="false">
      <c r="A12" s="0" t="s">
        <v>143</v>
      </c>
      <c r="B12" s="0" t="s">
        <v>133</v>
      </c>
    </row>
    <row r="13" customFormat="false" ht="15" hidden="false" customHeight="false" outlineLevel="0" collapsed="false">
      <c r="A13" s="0" t="s">
        <v>132</v>
      </c>
      <c r="B13" s="0" t="s">
        <v>144</v>
      </c>
    </row>
    <row r="14" customFormat="false" ht="15" hidden="false" customHeight="false" outlineLevel="0" collapsed="false">
      <c r="A14" s="0" t="s">
        <v>134</v>
      </c>
      <c r="B14" s="0" t="s">
        <v>144</v>
      </c>
    </row>
    <row r="15" customFormat="false" ht="15" hidden="false" customHeight="false" outlineLevel="0" collapsed="false">
      <c r="A15" s="0" t="s">
        <v>135</v>
      </c>
      <c r="B15" s="0" t="s">
        <v>144</v>
      </c>
    </row>
    <row r="16" customFormat="false" ht="15" hidden="false" customHeight="false" outlineLevel="0" collapsed="false">
      <c r="A16" s="0" t="s">
        <v>136</v>
      </c>
      <c r="B16" s="0" t="s">
        <v>144</v>
      </c>
    </row>
    <row r="17" customFormat="false" ht="15" hidden="false" customHeight="false" outlineLevel="0" collapsed="false">
      <c r="A17" s="0" t="s">
        <v>137</v>
      </c>
      <c r="B17" s="0" t="s">
        <v>144</v>
      </c>
    </row>
    <row r="18" customFormat="false" ht="15" hidden="false" customHeight="false" outlineLevel="0" collapsed="false">
      <c r="A18" s="0" t="s">
        <v>138</v>
      </c>
      <c r="B18" s="0" t="s">
        <v>144</v>
      </c>
    </row>
    <row r="19" customFormat="false" ht="15" hidden="false" customHeight="false" outlineLevel="0" collapsed="false">
      <c r="A19" s="0" t="s">
        <v>139</v>
      </c>
      <c r="B19" s="0" t="s">
        <v>144</v>
      </c>
    </row>
    <row r="20" customFormat="false" ht="15" hidden="false" customHeight="false" outlineLevel="0" collapsed="false">
      <c r="A20" s="0" t="s">
        <v>140</v>
      </c>
      <c r="B20" s="0" t="s">
        <v>144</v>
      </c>
    </row>
    <row r="21" customFormat="false" ht="15" hidden="false" customHeight="false" outlineLevel="0" collapsed="false">
      <c r="A21" s="0" t="s">
        <v>141</v>
      </c>
      <c r="B21" s="0" t="s">
        <v>144</v>
      </c>
    </row>
    <row r="22" customFormat="false" ht="15" hidden="false" customHeight="false" outlineLevel="0" collapsed="false">
      <c r="A22" s="0" t="s">
        <v>142</v>
      </c>
      <c r="B22" s="0" t="s">
        <v>144</v>
      </c>
    </row>
    <row r="23" customFormat="false" ht="15" hidden="false" customHeight="false" outlineLevel="0" collapsed="false">
      <c r="A23" s="0" t="s">
        <v>143</v>
      </c>
      <c r="B23" s="0" t="s">
        <v>144</v>
      </c>
    </row>
    <row r="24" customFormat="false" ht="15" hidden="false" customHeight="false" outlineLevel="0" collapsed="false">
      <c r="A24" s="0" t="s">
        <v>132</v>
      </c>
      <c r="B24" s="0" t="s">
        <v>145</v>
      </c>
    </row>
    <row r="25" customFormat="false" ht="15" hidden="false" customHeight="false" outlineLevel="0" collapsed="false">
      <c r="A25" s="0" t="s">
        <v>134</v>
      </c>
      <c r="B25" s="0" t="s">
        <v>145</v>
      </c>
    </row>
    <row r="26" customFormat="false" ht="15" hidden="false" customHeight="false" outlineLevel="0" collapsed="false">
      <c r="A26" s="0" t="s">
        <v>135</v>
      </c>
      <c r="B26" s="0" t="s">
        <v>145</v>
      </c>
    </row>
    <row r="27" customFormat="false" ht="15" hidden="false" customHeight="false" outlineLevel="0" collapsed="false">
      <c r="A27" s="0" t="s">
        <v>136</v>
      </c>
      <c r="B27" s="0" t="s">
        <v>145</v>
      </c>
    </row>
    <row r="28" customFormat="false" ht="15" hidden="false" customHeight="false" outlineLevel="0" collapsed="false">
      <c r="A28" s="0" t="s">
        <v>137</v>
      </c>
      <c r="B28" s="0" t="s">
        <v>145</v>
      </c>
    </row>
    <row r="29" customFormat="false" ht="15" hidden="false" customHeight="false" outlineLevel="0" collapsed="false">
      <c r="A29" s="0" t="s">
        <v>138</v>
      </c>
      <c r="B29" s="0" t="s">
        <v>145</v>
      </c>
    </row>
    <row r="30" customFormat="false" ht="15" hidden="false" customHeight="false" outlineLevel="0" collapsed="false">
      <c r="A30" s="0" t="s">
        <v>139</v>
      </c>
      <c r="B30" s="0" t="s">
        <v>145</v>
      </c>
    </row>
    <row r="31" customFormat="false" ht="15" hidden="false" customHeight="false" outlineLevel="0" collapsed="false">
      <c r="A31" s="0" t="s">
        <v>140</v>
      </c>
      <c r="B31" s="0" t="s">
        <v>145</v>
      </c>
    </row>
    <row r="32" customFormat="false" ht="15" hidden="false" customHeight="false" outlineLevel="0" collapsed="false">
      <c r="A32" s="0" t="s">
        <v>141</v>
      </c>
      <c r="B32" s="0" t="s">
        <v>145</v>
      </c>
    </row>
    <row r="33" customFormat="false" ht="15" hidden="false" customHeight="false" outlineLevel="0" collapsed="false">
      <c r="A33" s="0" t="s">
        <v>142</v>
      </c>
      <c r="B33" s="0" t="s">
        <v>145</v>
      </c>
    </row>
    <row r="34" customFormat="false" ht="15" hidden="false" customHeight="false" outlineLevel="0" collapsed="false">
      <c r="A34" s="0" t="s">
        <v>143</v>
      </c>
      <c r="B34" s="0" t="s">
        <v>145</v>
      </c>
    </row>
    <row r="35" customFormat="false" ht="15" hidden="false" customHeight="false" outlineLevel="0" collapsed="false">
      <c r="A35" s="0" t="s">
        <v>132</v>
      </c>
      <c r="B35" s="0" t="s">
        <v>146</v>
      </c>
    </row>
    <row r="36" customFormat="false" ht="15" hidden="false" customHeight="false" outlineLevel="0" collapsed="false">
      <c r="A36" s="0" t="s">
        <v>134</v>
      </c>
      <c r="B36" s="0" t="s">
        <v>146</v>
      </c>
    </row>
    <row r="37" customFormat="false" ht="15" hidden="false" customHeight="false" outlineLevel="0" collapsed="false">
      <c r="A37" s="0" t="s">
        <v>135</v>
      </c>
      <c r="B37" s="0" t="s">
        <v>146</v>
      </c>
    </row>
    <row r="38" customFormat="false" ht="15" hidden="false" customHeight="false" outlineLevel="0" collapsed="false">
      <c r="A38" s="0" t="s">
        <v>136</v>
      </c>
      <c r="B38" s="0" t="s">
        <v>146</v>
      </c>
    </row>
    <row r="39" customFormat="false" ht="15" hidden="false" customHeight="false" outlineLevel="0" collapsed="false">
      <c r="A39" s="0" t="s">
        <v>137</v>
      </c>
      <c r="B39" s="0" t="s">
        <v>146</v>
      </c>
    </row>
    <row r="40" customFormat="false" ht="15" hidden="false" customHeight="false" outlineLevel="0" collapsed="false">
      <c r="A40" s="0" t="s">
        <v>138</v>
      </c>
      <c r="B40" s="0" t="s">
        <v>146</v>
      </c>
    </row>
    <row r="41" customFormat="false" ht="15" hidden="false" customHeight="false" outlineLevel="0" collapsed="false">
      <c r="A41" s="0" t="s">
        <v>139</v>
      </c>
      <c r="B41" s="0" t="s">
        <v>146</v>
      </c>
    </row>
    <row r="42" customFormat="false" ht="15" hidden="false" customHeight="false" outlineLevel="0" collapsed="false">
      <c r="A42" s="0" t="s">
        <v>140</v>
      </c>
      <c r="B42" s="0" t="s">
        <v>146</v>
      </c>
    </row>
    <row r="43" customFormat="false" ht="15" hidden="false" customHeight="false" outlineLevel="0" collapsed="false">
      <c r="A43" s="0" t="s">
        <v>141</v>
      </c>
      <c r="B43" s="0" t="s">
        <v>146</v>
      </c>
    </row>
    <row r="44" customFormat="false" ht="15" hidden="false" customHeight="false" outlineLevel="0" collapsed="false">
      <c r="A44" s="0" t="s">
        <v>142</v>
      </c>
      <c r="B44" s="0" t="s">
        <v>146</v>
      </c>
    </row>
    <row r="45" customFormat="false" ht="15" hidden="false" customHeight="false" outlineLevel="0" collapsed="false">
      <c r="A45" s="0" t="s">
        <v>143</v>
      </c>
      <c r="B45" s="0" t="s">
        <v>146</v>
      </c>
    </row>
    <row r="46" customFormat="false" ht="15" hidden="false" customHeight="false" outlineLevel="0" collapsed="false">
      <c r="A46" s="0" t="s">
        <v>132</v>
      </c>
      <c r="B46" s="0" t="s">
        <v>147</v>
      </c>
    </row>
    <row r="47" customFormat="false" ht="15" hidden="false" customHeight="false" outlineLevel="0" collapsed="false">
      <c r="A47" s="0" t="s">
        <v>134</v>
      </c>
      <c r="B47" s="0" t="s">
        <v>147</v>
      </c>
    </row>
    <row r="48" customFormat="false" ht="15" hidden="false" customHeight="false" outlineLevel="0" collapsed="false">
      <c r="A48" s="0" t="s">
        <v>135</v>
      </c>
      <c r="B48" s="0" t="s">
        <v>147</v>
      </c>
    </row>
    <row r="49" customFormat="false" ht="15" hidden="false" customHeight="false" outlineLevel="0" collapsed="false">
      <c r="A49" s="0" t="s">
        <v>136</v>
      </c>
      <c r="B49" s="0" t="s">
        <v>147</v>
      </c>
    </row>
    <row r="50" customFormat="false" ht="15" hidden="false" customHeight="false" outlineLevel="0" collapsed="false">
      <c r="A50" s="0" t="s">
        <v>137</v>
      </c>
      <c r="B50" s="0" t="s">
        <v>147</v>
      </c>
    </row>
    <row r="51" customFormat="false" ht="15" hidden="false" customHeight="false" outlineLevel="0" collapsed="false">
      <c r="A51" s="0" t="s">
        <v>138</v>
      </c>
      <c r="B51" s="0" t="s">
        <v>147</v>
      </c>
    </row>
    <row r="52" customFormat="false" ht="15" hidden="false" customHeight="false" outlineLevel="0" collapsed="false">
      <c r="A52" s="0" t="s">
        <v>139</v>
      </c>
      <c r="B52" s="0" t="s">
        <v>147</v>
      </c>
    </row>
    <row r="53" customFormat="false" ht="15" hidden="false" customHeight="false" outlineLevel="0" collapsed="false">
      <c r="A53" s="0" t="s">
        <v>140</v>
      </c>
      <c r="B53" s="0" t="s">
        <v>147</v>
      </c>
    </row>
    <row r="54" customFormat="false" ht="15" hidden="false" customHeight="false" outlineLevel="0" collapsed="false">
      <c r="A54" s="0" t="s">
        <v>141</v>
      </c>
      <c r="B54" s="0" t="s">
        <v>147</v>
      </c>
    </row>
    <row r="55" customFormat="false" ht="15" hidden="false" customHeight="false" outlineLevel="0" collapsed="false">
      <c r="A55" s="0" t="s">
        <v>142</v>
      </c>
      <c r="B55" s="0" t="s">
        <v>147</v>
      </c>
    </row>
    <row r="56" customFormat="false" ht="15" hidden="false" customHeight="false" outlineLevel="0" collapsed="false">
      <c r="A56" s="0" t="s">
        <v>143</v>
      </c>
      <c r="B56" s="0" t="s">
        <v>147</v>
      </c>
    </row>
    <row r="57" customFormat="false" ht="15" hidden="false" customHeight="false" outlineLevel="0" collapsed="false">
      <c r="A57" s="0" t="s">
        <v>132</v>
      </c>
      <c r="B57" s="0" t="s">
        <v>148</v>
      </c>
    </row>
    <row r="58" customFormat="false" ht="15" hidden="false" customHeight="false" outlineLevel="0" collapsed="false">
      <c r="A58" s="0" t="s">
        <v>134</v>
      </c>
      <c r="B58" s="0" t="s">
        <v>148</v>
      </c>
    </row>
    <row r="59" customFormat="false" ht="15" hidden="false" customHeight="false" outlineLevel="0" collapsed="false">
      <c r="A59" s="0" t="s">
        <v>135</v>
      </c>
      <c r="B59" s="0" t="s">
        <v>148</v>
      </c>
    </row>
    <row r="60" customFormat="false" ht="15" hidden="false" customHeight="false" outlineLevel="0" collapsed="false">
      <c r="A60" s="0" t="s">
        <v>136</v>
      </c>
      <c r="B60" s="0" t="s">
        <v>148</v>
      </c>
    </row>
    <row r="61" customFormat="false" ht="15" hidden="false" customHeight="false" outlineLevel="0" collapsed="false">
      <c r="A61" s="0" t="s">
        <v>137</v>
      </c>
      <c r="B61" s="0" t="s">
        <v>148</v>
      </c>
    </row>
    <row r="62" customFormat="false" ht="15" hidden="false" customHeight="false" outlineLevel="0" collapsed="false">
      <c r="A62" s="0" t="s">
        <v>138</v>
      </c>
      <c r="B62" s="0" t="s">
        <v>148</v>
      </c>
    </row>
    <row r="63" customFormat="false" ht="15" hidden="false" customHeight="false" outlineLevel="0" collapsed="false">
      <c r="A63" s="0" t="s">
        <v>139</v>
      </c>
      <c r="B63" s="0" t="s">
        <v>148</v>
      </c>
    </row>
    <row r="64" customFormat="false" ht="15" hidden="false" customHeight="false" outlineLevel="0" collapsed="false">
      <c r="A64" s="0" t="s">
        <v>140</v>
      </c>
      <c r="B64" s="0" t="s">
        <v>148</v>
      </c>
    </row>
    <row r="65" customFormat="false" ht="15" hidden="false" customHeight="false" outlineLevel="0" collapsed="false">
      <c r="A65" s="0" t="s">
        <v>141</v>
      </c>
      <c r="B65" s="0" t="s">
        <v>148</v>
      </c>
    </row>
    <row r="66" customFormat="false" ht="15" hidden="false" customHeight="false" outlineLevel="0" collapsed="false">
      <c r="A66" s="0" t="s">
        <v>142</v>
      </c>
      <c r="B66" s="0" t="s">
        <v>148</v>
      </c>
    </row>
    <row r="67" customFormat="false" ht="15" hidden="false" customHeight="false" outlineLevel="0" collapsed="false">
      <c r="A67" s="0" t="s">
        <v>143</v>
      </c>
      <c r="B67" s="0" t="s">
        <v>148</v>
      </c>
    </row>
    <row r="68" customFormat="false" ht="15" hidden="false" customHeight="false" outlineLevel="0" collapsed="false">
      <c r="A68" s="0" t="s">
        <v>132</v>
      </c>
      <c r="B68" s="0" t="s">
        <v>149</v>
      </c>
    </row>
    <row r="69" customFormat="false" ht="15" hidden="false" customHeight="false" outlineLevel="0" collapsed="false">
      <c r="A69" s="0" t="s">
        <v>134</v>
      </c>
      <c r="B69" s="0" t="s">
        <v>149</v>
      </c>
    </row>
    <row r="70" customFormat="false" ht="15" hidden="false" customHeight="false" outlineLevel="0" collapsed="false">
      <c r="A70" s="0" t="s">
        <v>135</v>
      </c>
      <c r="B70" s="0" t="s">
        <v>149</v>
      </c>
    </row>
    <row r="71" customFormat="false" ht="15" hidden="false" customHeight="false" outlineLevel="0" collapsed="false">
      <c r="A71" s="0" t="s">
        <v>136</v>
      </c>
      <c r="B71" s="0" t="s">
        <v>149</v>
      </c>
    </row>
    <row r="72" customFormat="false" ht="15" hidden="false" customHeight="false" outlineLevel="0" collapsed="false">
      <c r="A72" s="0" t="s">
        <v>137</v>
      </c>
      <c r="B72" s="0" t="s">
        <v>149</v>
      </c>
    </row>
    <row r="73" customFormat="false" ht="15" hidden="false" customHeight="false" outlineLevel="0" collapsed="false">
      <c r="A73" s="0" t="s">
        <v>138</v>
      </c>
      <c r="B73" s="0" t="s">
        <v>149</v>
      </c>
    </row>
    <row r="74" customFormat="false" ht="15" hidden="false" customHeight="false" outlineLevel="0" collapsed="false">
      <c r="A74" s="0" t="s">
        <v>139</v>
      </c>
      <c r="B74" s="0" t="s">
        <v>149</v>
      </c>
    </row>
    <row r="75" customFormat="false" ht="15" hidden="false" customHeight="false" outlineLevel="0" collapsed="false">
      <c r="A75" s="0" t="s">
        <v>140</v>
      </c>
      <c r="B75" s="0" t="s">
        <v>149</v>
      </c>
    </row>
    <row r="76" customFormat="false" ht="15" hidden="false" customHeight="false" outlineLevel="0" collapsed="false">
      <c r="A76" s="0" t="s">
        <v>141</v>
      </c>
      <c r="B76" s="0" t="s">
        <v>149</v>
      </c>
    </row>
    <row r="77" customFormat="false" ht="15" hidden="false" customHeight="false" outlineLevel="0" collapsed="false">
      <c r="A77" s="0" t="s">
        <v>142</v>
      </c>
      <c r="B77" s="0" t="s">
        <v>149</v>
      </c>
    </row>
    <row r="78" customFormat="false" ht="15" hidden="false" customHeight="false" outlineLevel="0" collapsed="false">
      <c r="A78" s="0" t="s">
        <v>143</v>
      </c>
      <c r="B78" s="0" t="s">
        <v>149</v>
      </c>
    </row>
    <row r="79" customFormat="false" ht="15" hidden="false" customHeight="false" outlineLevel="0" collapsed="false">
      <c r="A79" s="0" t="s">
        <v>132</v>
      </c>
      <c r="B79" s="0" t="s">
        <v>150</v>
      </c>
    </row>
    <row r="80" customFormat="false" ht="15" hidden="false" customHeight="false" outlineLevel="0" collapsed="false">
      <c r="A80" s="0" t="s">
        <v>134</v>
      </c>
      <c r="B80" s="0" t="s">
        <v>150</v>
      </c>
    </row>
    <row r="81" customFormat="false" ht="15" hidden="false" customHeight="false" outlineLevel="0" collapsed="false">
      <c r="A81" s="0" t="s">
        <v>135</v>
      </c>
      <c r="B81" s="0" t="s">
        <v>150</v>
      </c>
    </row>
    <row r="82" customFormat="false" ht="15" hidden="false" customHeight="false" outlineLevel="0" collapsed="false">
      <c r="A82" s="0" t="s">
        <v>136</v>
      </c>
      <c r="B82" s="0" t="s">
        <v>150</v>
      </c>
    </row>
    <row r="83" customFormat="false" ht="15" hidden="false" customHeight="false" outlineLevel="0" collapsed="false">
      <c r="A83" s="0" t="s">
        <v>137</v>
      </c>
      <c r="B83" s="0" t="s">
        <v>150</v>
      </c>
    </row>
    <row r="84" customFormat="false" ht="15" hidden="false" customHeight="false" outlineLevel="0" collapsed="false">
      <c r="A84" s="0" t="s">
        <v>138</v>
      </c>
      <c r="B84" s="0" t="s">
        <v>150</v>
      </c>
    </row>
    <row r="85" customFormat="false" ht="15" hidden="false" customHeight="false" outlineLevel="0" collapsed="false">
      <c r="A85" s="0" t="s">
        <v>139</v>
      </c>
      <c r="B85" s="0" t="s">
        <v>150</v>
      </c>
    </row>
    <row r="86" customFormat="false" ht="15" hidden="false" customHeight="false" outlineLevel="0" collapsed="false">
      <c r="A86" s="0" t="s">
        <v>140</v>
      </c>
      <c r="B86" s="0" t="s">
        <v>150</v>
      </c>
    </row>
    <row r="87" customFormat="false" ht="15" hidden="false" customHeight="false" outlineLevel="0" collapsed="false">
      <c r="A87" s="0" t="s">
        <v>141</v>
      </c>
      <c r="B87" s="0" t="s">
        <v>150</v>
      </c>
    </row>
    <row r="88" customFormat="false" ht="15" hidden="false" customHeight="false" outlineLevel="0" collapsed="false">
      <c r="A88" s="0" t="s">
        <v>142</v>
      </c>
      <c r="B88" s="0" t="s">
        <v>150</v>
      </c>
    </row>
    <row r="89" customFormat="false" ht="15" hidden="false" customHeight="false" outlineLevel="0" collapsed="false">
      <c r="A89" s="0" t="s">
        <v>143</v>
      </c>
      <c r="B89" s="0" t="s">
        <v>150</v>
      </c>
    </row>
    <row r="90" customFormat="false" ht="15" hidden="false" customHeight="false" outlineLevel="0" collapsed="false">
      <c r="A90" s="0" t="s">
        <v>132</v>
      </c>
      <c r="B90" s="0" t="s">
        <v>151</v>
      </c>
    </row>
    <row r="91" customFormat="false" ht="15" hidden="false" customHeight="false" outlineLevel="0" collapsed="false">
      <c r="A91" s="0" t="s">
        <v>134</v>
      </c>
      <c r="B91" s="0" t="s">
        <v>151</v>
      </c>
    </row>
    <row r="92" customFormat="false" ht="15" hidden="false" customHeight="false" outlineLevel="0" collapsed="false">
      <c r="A92" s="0" t="s">
        <v>135</v>
      </c>
      <c r="B92" s="0" t="s">
        <v>151</v>
      </c>
    </row>
    <row r="93" customFormat="false" ht="15" hidden="false" customHeight="false" outlineLevel="0" collapsed="false">
      <c r="A93" s="0" t="s">
        <v>136</v>
      </c>
      <c r="B93" s="0" t="s">
        <v>151</v>
      </c>
    </row>
    <row r="94" customFormat="false" ht="15" hidden="false" customHeight="false" outlineLevel="0" collapsed="false">
      <c r="A94" s="0" t="s">
        <v>137</v>
      </c>
      <c r="B94" s="0" t="s">
        <v>151</v>
      </c>
    </row>
    <row r="95" customFormat="false" ht="15" hidden="false" customHeight="false" outlineLevel="0" collapsed="false">
      <c r="A95" s="0" t="s">
        <v>138</v>
      </c>
      <c r="B95" s="0" t="s">
        <v>151</v>
      </c>
    </row>
    <row r="96" customFormat="false" ht="15" hidden="false" customHeight="false" outlineLevel="0" collapsed="false">
      <c r="A96" s="0" t="s">
        <v>139</v>
      </c>
      <c r="B96" s="0" t="s">
        <v>151</v>
      </c>
    </row>
    <row r="97" customFormat="false" ht="15" hidden="false" customHeight="false" outlineLevel="0" collapsed="false">
      <c r="A97" s="0" t="s">
        <v>140</v>
      </c>
      <c r="B97" s="0" t="s">
        <v>151</v>
      </c>
    </row>
    <row r="98" customFormat="false" ht="15" hidden="false" customHeight="false" outlineLevel="0" collapsed="false">
      <c r="A98" s="0" t="s">
        <v>141</v>
      </c>
      <c r="B98" s="0" t="s">
        <v>151</v>
      </c>
    </row>
    <row r="99" customFormat="false" ht="15" hidden="false" customHeight="false" outlineLevel="0" collapsed="false">
      <c r="A99" s="0" t="s">
        <v>142</v>
      </c>
      <c r="B99" s="0" t="s">
        <v>151</v>
      </c>
    </row>
    <row r="100" customFormat="false" ht="15" hidden="false" customHeight="false" outlineLevel="0" collapsed="false">
      <c r="A100" s="0" t="s">
        <v>143</v>
      </c>
      <c r="B100" s="0" t="s">
        <v>151</v>
      </c>
    </row>
    <row r="101" customFormat="false" ht="15" hidden="false" customHeight="false" outlineLevel="0" collapsed="false">
      <c r="A101" s="0" t="s">
        <v>132</v>
      </c>
      <c r="B101" s="0" t="s">
        <v>152</v>
      </c>
    </row>
    <row r="102" customFormat="false" ht="15" hidden="false" customHeight="false" outlineLevel="0" collapsed="false">
      <c r="A102" s="0" t="s">
        <v>134</v>
      </c>
      <c r="B102" s="0" t="s">
        <v>152</v>
      </c>
    </row>
    <row r="103" customFormat="false" ht="15" hidden="false" customHeight="false" outlineLevel="0" collapsed="false">
      <c r="A103" s="0" t="s">
        <v>135</v>
      </c>
      <c r="B103" s="0" t="s">
        <v>152</v>
      </c>
    </row>
    <row r="104" customFormat="false" ht="15" hidden="false" customHeight="false" outlineLevel="0" collapsed="false">
      <c r="A104" s="0" t="s">
        <v>136</v>
      </c>
      <c r="B104" s="0" t="s">
        <v>152</v>
      </c>
    </row>
    <row r="105" customFormat="false" ht="15" hidden="false" customHeight="false" outlineLevel="0" collapsed="false">
      <c r="A105" s="0" t="s">
        <v>137</v>
      </c>
      <c r="B105" s="0" t="s">
        <v>152</v>
      </c>
    </row>
    <row r="106" customFormat="false" ht="15" hidden="false" customHeight="false" outlineLevel="0" collapsed="false">
      <c r="A106" s="0" t="s">
        <v>138</v>
      </c>
      <c r="B106" s="0" t="s">
        <v>152</v>
      </c>
    </row>
    <row r="107" customFormat="false" ht="15" hidden="false" customHeight="false" outlineLevel="0" collapsed="false">
      <c r="A107" s="0" t="s">
        <v>139</v>
      </c>
      <c r="B107" s="0" t="s">
        <v>152</v>
      </c>
    </row>
    <row r="108" customFormat="false" ht="15" hidden="false" customHeight="false" outlineLevel="0" collapsed="false">
      <c r="A108" s="0" t="s">
        <v>140</v>
      </c>
      <c r="B108" s="0" t="s">
        <v>152</v>
      </c>
    </row>
    <row r="109" customFormat="false" ht="15" hidden="false" customHeight="false" outlineLevel="0" collapsed="false">
      <c r="A109" s="0" t="s">
        <v>141</v>
      </c>
      <c r="B109" s="0" t="s">
        <v>152</v>
      </c>
    </row>
    <row r="110" customFormat="false" ht="15" hidden="false" customHeight="false" outlineLevel="0" collapsed="false">
      <c r="A110" s="0" t="s">
        <v>142</v>
      </c>
      <c r="B110" s="0" t="s">
        <v>152</v>
      </c>
    </row>
    <row r="111" customFormat="false" ht="15" hidden="false" customHeight="false" outlineLevel="0" collapsed="false">
      <c r="A111" s="0" t="s">
        <v>143</v>
      </c>
      <c r="B111" s="0" t="s">
        <v>152</v>
      </c>
    </row>
    <row r="112" customFormat="false" ht="15" hidden="false" customHeight="false" outlineLevel="0" collapsed="false">
      <c r="A112" s="0" t="s">
        <v>132</v>
      </c>
      <c r="B112" s="0" t="s">
        <v>153</v>
      </c>
    </row>
    <row r="113" customFormat="false" ht="15" hidden="false" customHeight="false" outlineLevel="0" collapsed="false">
      <c r="A113" s="0" t="s">
        <v>134</v>
      </c>
      <c r="B113" s="0" t="s">
        <v>153</v>
      </c>
    </row>
    <row r="114" customFormat="false" ht="15" hidden="false" customHeight="false" outlineLevel="0" collapsed="false">
      <c r="A114" s="0" t="s">
        <v>135</v>
      </c>
      <c r="B114" s="0" t="s">
        <v>153</v>
      </c>
    </row>
    <row r="115" customFormat="false" ht="15" hidden="false" customHeight="false" outlineLevel="0" collapsed="false">
      <c r="A115" s="0" t="s">
        <v>136</v>
      </c>
      <c r="B115" s="0" t="s">
        <v>153</v>
      </c>
    </row>
    <row r="116" customFormat="false" ht="15" hidden="false" customHeight="false" outlineLevel="0" collapsed="false">
      <c r="A116" s="0" t="s">
        <v>137</v>
      </c>
      <c r="B116" s="0" t="s">
        <v>153</v>
      </c>
    </row>
    <row r="117" customFormat="false" ht="15" hidden="false" customHeight="false" outlineLevel="0" collapsed="false">
      <c r="A117" s="0" t="s">
        <v>138</v>
      </c>
      <c r="B117" s="0" t="s">
        <v>153</v>
      </c>
    </row>
    <row r="118" customFormat="false" ht="15" hidden="false" customHeight="false" outlineLevel="0" collapsed="false">
      <c r="A118" s="0" t="s">
        <v>139</v>
      </c>
      <c r="B118" s="0" t="s">
        <v>153</v>
      </c>
    </row>
    <row r="119" customFormat="false" ht="15" hidden="false" customHeight="false" outlineLevel="0" collapsed="false">
      <c r="A119" s="0" t="s">
        <v>140</v>
      </c>
      <c r="B119" s="0" t="s">
        <v>153</v>
      </c>
    </row>
    <row r="120" customFormat="false" ht="15" hidden="false" customHeight="false" outlineLevel="0" collapsed="false">
      <c r="A120" s="0" t="s">
        <v>141</v>
      </c>
      <c r="B120" s="0" t="s">
        <v>153</v>
      </c>
    </row>
    <row r="121" customFormat="false" ht="15" hidden="false" customHeight="false" outlineLevel="0" collapsed="false">
      <c r="A121" s="0" t="s">
        <v>142</v>
      </c>
      <c r="B121" s="0" t="s">
        <v>153</v>
      </c>
    </row>
    <row r="122" customFormat="false" ht="15" hidden="false" customHeight="false" outlineLevel="0" collapsed="false">
      <c r="A122" s="0" t="s">
        <v>143</v>
      </c>
      <c r="B122" s="0" t="s">
        <v>153</v>
      </c>
    </row>
    <row r="123" customFormat="false" ht="15" hidden="false" customHeight="false" outlineLevel="0" collapsed="false">
      <c r="A123" s="0" t="s">
        <v>132</v>
      </c>
      <c r="B123" s="0" t="s">
        <v>154</v>
      </c>
    </row>
    <row r="124" customFormat="false" ht="15" hidden="false" customHeight="false" outlineLevel="0" collapsed="false">
      <c r="A124" s="0" t="s">
        <v>134</v>
      </c>
      <c r="B124" s="0" t="s">
        <v>154</v>
      </c>
    </row>
    <row r="125" customFormat="false" ht="15" hidden="false" customHeight="false" outlineLevel="0" collapsed="false">
      <c r="A125" s="0" t="s">
        <v>135</v>
      </c>
      <c r="B125" s="0" t="s">
        <v>154</v>
      </c>
    </row>
    <row r="126" customFormat="false" ht="15" hidden="false" customHeight="false" outlineLevel="0" collapsed="false">
      <c r="A126" s="0" t="s">
        <v>136</v>
      </c>
      <c r="B126" s="0" t="s">
        <v>154</v>
      </c>
    </row>
    <row r="127" customFormat="false" ht="15" hidden="false" customHeight="false" outlineLevel="0" collapsed="false">
      <c r="A127" s="0" t="s">
        <v>137</v>
      </c>
      <c r="B127" s="0" t="s">
        <v>154</v>
      </c>
    </row>
    <row r="128" customFormat="false" ht="15" hidden="false" customHeight="false" outlineLevel="0" collapsed="false">
      <c r="A128" s="0" t="s">
        <v>138</v>
      </c>
      <c r="B128" s="0" t="s">
        <v>154</v>
      </c>
    </row>
    <row r="129" customFormat="false" ht="15" hidden="false" customHeight="false" outlineLevel="0" collapsed="false">
      <c r="A129" s="0" t="s">
        <v>139</v>
      </c>
      <c r="B129" s="0" t="s">
        <v>154</v>
      </c>
    </row>
    <row r="130" customFormat="false" ht="15" hidden="false" customHeight="false" outlineLevel="0" collapsed="false">
      <c r="A130" s="0" t="s">
        <v>140</v>
      </c>
      <c r="B130" s="0" t="s">
        <v>154</v>
      </c>
    </row>
    <row r="131" customFormat="false" ht="15" hidden="false" customHeight="false" outlineLevel="0" collapsed="false">
      <c r="A131" s="0" t="s">
        <v>141</v>
      </c>
      <c r="B131" s="0" t="s">
        <v>154</v>
      </c>
    </row>
    <row r="132" customFormat="false" ht="15" hidden="false" customHeight="false" outlineLevel="0" collapsed="false">
      <c r="A132" s="0" t="s">
        <v>142</v>
      </c>
      <c r="B132" s="0" t="s">
        <v>154</v>
      </c>
    </row>
    <row r="133" customFormat="false" ht="15" hidden="false" customHeight="false" outlineLevel="0" collapsed="false">
      <c r="A133" s="0" t="s">
        <v>143</v>
      </c>
      <c r="B133" s="0" t="s">
        <v>154</v>
      </c>
    </row>
    <row r="134" customFormat="false" ht="15" hidden="false" customHeight="false" outlineLevel="0" collapsed="false">
      <c r="A134" s="0" t="s">
        <v>132</v>
      </c>
      <c r="B134" s="0" t="s">
        <v>155</v>
      </c>
    </row>
    <row r="135" customFormat="false" ht="15" hidden="false" customHeight="false" outlineLevel="0" collapsed="false">
      <c r="A135" s="0" t="s">
        <v>134</v>
      </c>
      <c r="B135" s="0" t="s">
        <v>155</v>
      </c>
    </row>
    <row r="136" customFormat="false" ht="15" hidden="false" customHeight="false" outlineLevel="0" collapsed="false">
      <c r="A136" s="0" t="s">
        <v>135</v>
      </c>
      <c r="B136" s="0" t="s">
        <v>155</v>
      </c>
    </row>
    <row r="137" customFormat="false" ht="15" hidden="false" customHeight="false" outlineLevel="0" collapsed="false">
      <c r="A137" s="0" t="s">
        <v>136</v>
      </c>
      <c r="B137" s="0" t="s">
        <v>155</v>
      </c>
    </row>
    <row r="138" customFormat="false" ht="15" hidden="false" customHeight="false" outlineLevel="0" collapsed="false">
      <c r="A138" s="0" t="s">
        <v>137</v>
      </c>
      <c r="B138" s="0" t="s">
        <v>155</v>
      </c>
    </row>
    <row r="139" customFormat="false" ht="15" hidden="false" customHeight="false" outlineLevel="0" collapsed="false">
      <c r="A139" s="0" t="s">
        <v>138</v>
      </c>
      <c r="B139" s="0" t="s">
        <v>155</v>
      </c>
    </row>
    <row r="140" customFormat="false" ht="15" hidden="false" customHeight="false" outlineLevel="0" collapsed="false">
      <c r="A140" s="0" t="s">
        <v>139</v>
      </c>
      <c r="B140" s="0" t="s">
        <v>155</v>
      </c>
    </row>
    <row r="141" customFormat="false" ht="15" hidden="false" customHeight="false" outlineLevel="0" collapsed="false">
      <c r="A141" s="0" t="s">
        <v>140</v>
      </c>
      <c r="B141" s="0" t="s">
        <v>155</v>
      </c>
    </row>
    <row r="142" customFormat="false" ht="15" hidden="false" customHeight="false" outlineLevel="0" collapsed="false">
      <c r="A142" s="0" t="s">
        <v>141</v>
      </c>
      <c r="B142" s="0" t="s">
        <v>155</v>
      </c>
    </row>
    <row r="143" customFormat="false" ht="15" hidden="false" customHeight="false" outlineLevel="0" collapsed="false">
      <c r="A143" s="0" t="s">
        <v>142</v>
      </c>
      <c r="B143" s="0" t="s">
        <v>155</v>
      </c>
    </row>
    <row r="144" customFormat="false" ht="15" hidden="false" customHeight="false" outlineLevel="0" collapsed="false">
      <c r="A144" s="0" t="s">
        <v>143</v>
      </c>
      <c r="B144" s="0" t="s">
        <v>155</v>
      </c>
    </row>
    <row r="145" customFormat="false" ht="15" hidden="false" customHeight="false" outlineLevel="0" collapsed="false">
      <c r="A145" s="0" t="s">
        <v>132</v>
      </c>
      <c r="B145" s="0" t="s">
        <v>156</v>
      </c>
    </row>
    <row r="146" customFormat="false" ht="15" hidden="false" customHeight="false" outlineLevel="0" collapsed="false">
      <c r="A146" s="0" t="s">
        <v>134</v>
      </c>
      <c r="B146" s="0" t="s">
        <v>156</v>
      </c>
    </row>
    <row r="147" customFormat="false" ht="15" hidden="false" customHeight="false" outlineLevel="0" collapsed="false">
      <c r="A147" s="0" t="s">
        <v>135</v>
      </c>
      <c r="B147" s="0" t="s">
        <v>156</v>
      </c>
    </row>
    <row r="148" customFormat="false" ht="15" hidden="false" customHeight="false" outlineLevel="0" collapsed="false">
      <c r="A148" s="0" t="s">
        <v>136</v>
      </c>
      <c r="B148" s="0" t="s">
        <v>156</v>
      </c>
    </row>
    <row r="149" customFormat="false" ht="15" hidden="false" customHeight="false" outlineLevel="0" collapsed="false">
      <c r="A149" s="0" t="s">
        <v>137</v>
      </c>
      <c r="B149" s="0" t="s">
        <v>156</v>
      </c>
    </row>
    <row r="150" customFormat="false" ht="15" hidden="false" customHeight="false" outlineLevel="0" collapsed="false">
      <c r="A150" s="0" t="s">
        <v>138</v>
      </c>
      <c r="B150" s="0" t="s">
        <v>156</v>
      </c>
    </row>
    <row r="151" customFormat="false" ht="15" hidden="false" customHeight="false" outlineLevel="0" collapsed="false">
      <c r="A151" s="0" t="s">
        <v>139</v>
      </c>
      <c r="B151" s="0" t="s">
        <v>156</v>
      </c>
    </row>
    <row r="152" customFormat="false" ht="15" hidden="false" customHeight="false" outlineLevel="0" collapsed="false">
      <c r="A152" s="0" t="s">
        <v>140</v>
      </c>
      <c r="B152" s="0" t="s">
        <v>156</v>
      </c>
    </row>
    <row r="153" customFormat="false" ht="15" hidden="false" customHeight="false" outlineLevel="0" collapsed="false">
      <c r="A153" s="0" t="s">
        <v>141</v>
      </c>
      <c r="B153" s="0" t="s">
        <v>156</v>
      </c>
    </row>
    <row r="154" customFormat="false" ht="15" hidden="false" customHeight="false" outlineLevel="0" collapsed="false">
      <c r="A154" s="0" t="s">
        <v>142</v>
      </c>
      <c r="B154" s="0" t="s">
        <v>156</v>
      </c>
    </row>
    <row r="155" customFormat="false" ht="15" hidden="false" customHeight="false" outlineLevel="0" collapsed="false">
      <c r="A155" s="0" t="s">
        <v>143</v>
      </c>
      <c r="B155" s="0" t="s">
        <v>156</v>
      </c>
    </row>
    <row r="156" customFormat="false" ht="15" hidden="false" customHeight="false" outlineLevel="0" collapsed="false">
      <c r="A156" s="0" t="s">
        <v>132</v>
      </c>
      <c r="B156" s="0" t="s">
        <v>157</v>
      </c>
    </row>
    <row r="157" customFormat="false" ht="15" hidden="false" customHeight="false" outlineLevel="0" collapsed="false">
      <c r="A157" s="0" t="s">
        <v>134</v>
      </c>
      <c r="B157" s="0" t="s">
        <v>157</v>
      </c>
    </row>
    <row r="158" customFormat="false" ht="15" hidden="false" customHeight="false" outlineLevel="0" collapsed="false">
      <c r="A158" s="0" t="s">
        <v>135</v>
      </c>
      <c r="B158" s="0" t="s">
        <v>157</v>
      </c>
    </row>
    <row r="159" customFormat="false" ht="15" hidden="false" customHeight="false" outlineLevel="0" collapsed="false">
      <c r="A159" s="0" t="s">
        <v>136</v>
      </c>
      <c r="B159" s="0" t="s">
        <v>157</v>
      </c>
    </row>
    <row r="160" customFormat="false" ht="15" hidden="false" customHeight="false" outlineLevel="0" collapsed="false">
      <c r="A160" s="0" t="s">
        <v>137</v>
      </c>
      <c r="B160" s="0" t="s">
        <v>157</v>
      </c>
    </row>
    <row r="161" customFormat="false" ht="15" hidden="false" customHeight="false" outlineLevel="0" collapsed="false">
      <c r="A161" s="0" t="s">
        <v>138</v>
      </c>
      <c r="B161" s="0" t="s">
        <v>157</v>
      </c>
    </row>
    <row r="162" customFormat="false" ht="15" hidden="false" customHeight="false" outlineLevel="0" collapsed="false">
      <c r="A162" s="0" t="s">
        <v>139</v>
      </c>
      <c r="B162" s="0" t="s">
        <v>157</v>
      </c>
    </row>
    <row r="163" customFormat="false" ht="15" hidden="false" customHeight="false" outlineLevel="0" collapsed="false">
      <c r="A163" s="0" t="s">
        <v>140</v>
      </c>
      <c r="B163" s="0" t="s">
        <v>157</v>
      </c>
    </row>
    <row r="164" customFormat="false" ht="15" hidden="false" customHeight="false" outlineLevel="0" collapsed="false">
      <c r="A164" s="0" t="s">
        <v>141</v>
      </c>
      <c r="B164" s="0" t="s">
        <v>157</v>
      </c>
    </row>
    <row r="165" customFormat="false" ht="15" hidden="false" customHeight="false" outlineLevel="0" collapsed="false">
      <c r="A165" s="0" t="s">
        <v>142</v>
      </c>
      <c r="B165" s="0" t="s">
        <v>157</v>
      </c>
    </row>
    <row r="166" customFormat="false" ht="15" hidden="false" customHeight="false" outlineLevel="0" collapsed="false">
      <c r="A166" s="0" t="s">
        <v>143</v>
      </c>
      <c r="B166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17" min="3" style="0" width="15"/>
  </cols>
  <sheetData>
    <row r="1" customFormat="false" ht="31.3" hidden="false" customHeight="false" outlineLevel="0" collapsed="false">
      <c r="A1" s="1" t="s">
        <v>113</v>
      </c>
      <c r="B1" s="1" t="s">
        <v>130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</row>
    <row r="2" customFormat="false" ht="15" hidden="false" customHeight="false" outlineLevel="0" collapsed="false">
      <c r="A2" s="0" t="s">
        <v>118</v>
      </c>
      <c r="B2" s="0" t="s">
        <v>133</v>
      </c>
      <c r="E2" s="0" t="n">
        <f aca="false">C2</f>
        <v>0</v>
      </c>
      <c r="F2" s="0" t="n">
        <f aca="false">D2</f>
        <v>0</v>
      </c>
      <c r="G2" s="0" t="n">
        <f aca="false">SUMIFS(Horas!$C:$C,Horas!$B:$B,$B2)</f>
        <v>0</v>
      </c>
      <c r="H2" s="0" t="n">
        <f aca="false">G2</f>
        <v>0</v>
      </c>
      <c r="I2" s="3" t="str">
        <f aca="false">IFERROR(F2/E2,"")</f>
        <v/>
      </c>
      <c r="J2" s="2" t="n">
        <f aca="false">Parâmetros!$B$33*1</f>
        <v>3935.22890818999</v>
      </c>
      <c r="K2" s="2" t="str">
        <f aca="false">IFERROR(I2*J2,"")</f>
        <v/>
      </c>
      <c r="L2" s="2" t="str">
        <f aca="false">IFERROR(IF(H2=0,"",H2*Parâmetros!$B$28),"")</f>
        <v/>
      </c>
      <c r="M2" s="3" t="str">
        <f aca="false">IFERROR(K2/L2,"")</f>
        <v/>
      </c>
      <c r="N2" s="2" t="str">
        <f aca="false">IFERROR(K2-J2,"")</f>
        <v/>
      </c>
      <c r="O2" s="2" t="str">
        <f aca="false">IFERROR(K2-L2,"")</f>
        <v/>
      </c>
      <c r="P2" s="2" t="str">
        <f aca="false">IFERROR(Parâmetros!$B$36/M2,"")</f>
        <v/>
      </c>
      <c r="Q2" s="2" t="str">
        <f aca="false">IFERROR(Parâmetros!$B$36-P2,"")</f>
        <v/>
      </c>
    </row>
    <row r="3" customFormat="false" ht="15" hidden="false" customHeight="false" outlineLevel="0" collapsed="false">
      <c r="A3" s="0" t="s">
        <v>118</v>
      </c>
      <c r="B3" s="0" t="s">
        <v>144</v>
      </c>
      <c r="E3" s="0" t="n">
        <f aca="false">E2+C3</f>
        <v>0</v>
      </c>
      <c r="F3" s="0" t="n">
        <f aca="false">F2+D3</f>
        <v>0</v>
      </c>
      <c r="G3" s="0" t="n">
        <f aca="false">SUMIFS(Horas!$C:$C,Horas!$B:$B,$B3)</f>
        <v>0</v>
      </c>
      <c r="H3" s="0" t="n">
        <f aca="false">H2+G3</f>
        <v>0</v>
      </c>
      <c r="I3" s="3" t="str">
        <f aca="false">IFERROR(F3/E3,"")</f>
        <v/>
      </c>
      <c r="J3" s="2" t="n">
        <f aca="false">Parâmetros!$B$33*2</f>
        <v>7870.45781637997</v>
      </c>
      <c r="K3" s="2" t="str">
        <f aca="false">IFERROR(I3*J3,"")</f>
        <v/>
      </c>
      <c r="L3" s="2" t="str">
        <f aca="false">IFERROR(IF(H3=0,"",H3*Parâmetros!$B$28),"")</f>
        <v/>
      </c>
      <c r="M3" s="3" t="str">
        <f aca="false">IFERROR(K3/L3,"")</f>
        <v/>
      </c>
      <c r="N3" s="2" t="str">
        <f aca="false">IFERROR(K3-J3,"")</f>
        <v/>
      </c>
      <c r="O3" s="2" t="str">
        <f aca="false">IFERROR(K3-L3,"")</f>
        <v/>
      </c>
      <c r="P3" s="2" t="str">
        <f aca="false">IFERROR(Parâmetros!$B$36/M3,"")</f>
        <v/>
      </c>
      <c r="Q3" s="2" t="str">
        <f aca="false">IFERROR(Parâmetros!$B$36-P3,"")</f>
        <v/>
      </c>
    </row>
    <row r="4" customFormat="false" ht="15" hidden="false" customHeight="false" outlineLevel="0" collapsed="false">
      <c r="A4" s="0" t="s">
        <v>118</v>
      </c>
      <c r="B4" s="0" t="s">
        <v>145</v>
      </c>
      <c r="E4" s="0" t="n">
        <f aca="false">E3+C4</f>
        <v>0</v>
      </c>
      <c r="F4" s="0" t="n">
        <f aca="false">F3+D4</f>
        <v>0</v>
      </c>
      <c r="G4" s="0" t="n">
        <f aca="false">SUMIFS(Horas!$C:$C,Horas!$B:$B,$B4)</f>
        <v>0</v>
      </c>
      <c r="H4" s="0" t="n">
        <f aca="false">H3+G4</f>
        <v>0</v>
      </c>
      <c r="I4" s="3" t="str">
        <f aca="false">IFERROR(F4/E4,"")</f>
        <v/>
      </c>
      <c r="J4" s="2" t="n">
        <f aca="false">Parâmetros!$B$33*3</f>
        <v>11805.68672457</v>
      </c>
      <c r="K4" s="2" t="str">
        <f aca="false">IFERROR(I4*J4,"")</f>
        <v/>
      </c>
      <c r="L4" s="2" t="str">
        <f aca="false">IFERROR(IF(H4=0,"",H4*Parâmetros!$B$28),"")</f>
        <v/>
      </c>
      <c r="M4" s="3" t="str">
        <f aca="false">IFERROR(K4/L4,"")</f>
        <v/>
      </c>
      <c r="N4" s="2" t="str">
        <f aca="false">IFERROR(K4-J4,"")</f>
        <v/>
      </c>
      <c r="O4" s="2" t="str">
        <f aca="false">IFERROR(K4-L4,"")</f>
        <v/>
      </c>
      <c r="P4" s="2" t="str">
        <f aca="false">IFERROR(Parâmetros!$B$36/M4,"")</f>
        <v/>
      </c>
      <c r="Q4" s="2" t="str">
        <f aca="false">IFERROR(Parâmetros!$B$36-P4,"")</f>
        <v/>
      </c>
    </row>
    <row r="5" customFormat="false" ht="15" hidden="false" customHeight="false" outlineLevel="0" collapsed="false">
      <c r="A5" s="0" t="s">
        <v>118</v>
      </c>
      <c r="B5" s="0" t="s">
        <v>146</v>
      </c>
      <c r="E5" s="0" t="n">
        <f aca="false">E4+C5</f>
        <v>0</v>
      </c>
      <c r="F5" s="0" t="n">
        <f aca="false">F4+D5</f>
        <v>0</v>
      </c>
      <c r="G5" s="0" t="n">
        <f aca="false">SUMIFS(Horas!$C:$C,Horas!$B:$B,$B5)</f>
        <v>0</v>
      </c>
      <c r="H5" s="0" t="n">
        <f aca="false">H4+G5</f>
        <v>0</v>
      </c>
      <c r="I5" s="3" t="str">
        <f aca="false">IFERROR(F5/E5,"")</f>
        <v/>
      </c>
      <c r="J5" s="2" t="n">
        <f aca="false">Parâmetros!$B$33*4</f>
        <v>15740.9156327599</v>
      </c>
      <c r="K5" s="2" t="str">
        <f aca="false">IFERROR(I5*J5,"")</f>
        <v/>
      </c>
      <c r="L5" s="2" t="str">
        <f aca="false">IFERROR(IF(H5=0,"",H5*Parâmetros!$B$28),"")</f>
        <v/>
      </c>
      <c r="M5" s="3" t="str">
        <f aca="false">IFERROR(K5/L5,"")</f>
        <v/>
      </c>
      <c r="N5" s="2" t="str">
        <f aca="false">IFERROR(K5-J5,"")</f>
        <v/>
      </c>
      <c r="O5" s="2" t="str">
        <f aca="false">IFERROR(K5-L5,"")</f>
        <v/>
      </c>
      <c r="P5" s="2" t="str">
        <f aca="false">IFERROR(Parâmetros!$B$36/M5,"")</f>
        <v/>
      </c>
      <c r="Q5" s="2" t="str">
        <f aca="false">IFERROR(Parâmetros!$B$36-P5,"")</f>
        <v/>
      </c>
    </row>
    <row r="6" customFormat="false" ht="15" hidden="false" customHeight="false" outlineLevel="0" collapsed="false">
      <c r="A6" s="0" t="s">
        <v>118</v>
      </c>
      <c r="B6" s="0" t="s">
        <v>147</v>
      </c>
      <c r="E6" s="0" t="n">
        <f aca="false">E5+C6</f>
        <v>0</v>
      </c>
      <c r="F6" s="0" t="n">
        <f aca="false">F5+D6</f>
        <v>0</v>
      </c>
      <c r="G6" s="0" t="n">
        <f aca="false">SUMIFS(Horas!$C:$C,Horas!$B:$B,$B6)</f>
        <v>0</v>
      </c>
      <c r="H6" s="0" t="n">
        <f aca="false">H5+G6</f>
        <v>0</v>
      </c>
      <c r="I6" s="3" t="str">
        <f aca="false">IFERROR(F6/E6,"")</f>
        <v/>
      </c>
      <c r="J6" s="2" t="n">
        <f aca="false">Parâmetros!$B$33*5</f>
        <v>19676.1445409499</v>
      </c>
      <c r="K6" s="2" t="str">
        <f aca="false">IFERROR(I6*J6,"")</f>
        <v/>
      </c>
      <c r="L6" s="2" t="str">
        <f aca="false">IFERROR(IF(H6=0,"",H6*Parâmetros!$B$28),"")</f>
        <v/>
      </c>
      <c r="M6" s="3" t="str">
        <f aca="false">IFERROR(K6/L6,"")</f>
        <v/>
      </c>
      <c r="N6" s="2" t="str">
        <f aca="false">IFERROR(K6-J6,"")</f>
        <v/>
      </c>
      <c r="O6" s="2" t="str">
        <f aca="false">IFERROR(K6-L6,"")</f>
        <v/>
      </c>
      <c r="P6" s="2" t="str">
        <f aca="false">IFERROR(Parâmetros!$B$36/M6,"")</f>
        <v/>
      </c>
      <c r="Q6" s="2" t="str">
        <f aca="false">IFERROR(Parâmetros!$B$36-P6,"")</f>
        <v/>
      </c>
    </row>
    <row r="7" customFormat="false" ht="15" hidden="false" customHeight="false" outlineLevel="0" collapsed="false">
      <c r="A7" s="0" t="s">
        <v>118</v>
      </c>
      <c r="B7" s="0" t="s">
        <v>148</v>
      </c>
      <c r="E7" s="0" t="n">
        <f aca="false">E6+C7</f>
        <v>0</v>
      </c>
      <c r="F7" s="0" t="n">
        <f aca="false">F6+D7</f>
        <v>0</v>
      </c>
      <c r="G7" s="0" t="n">
        <f aca="false">SUMIFS(Horas!$C:$C,Horas!$B:$B,$B7)</f>
        <v>0</v>
      </c>
      <c r="H7" s="0" t="n">
        <f aca="false">H6+G7</f>
        <v>0</v>
      </c>
      <c r="I7" s="3" t="str">
        <f aca="false">IFERROR(F7/E7,"")</f>
        <v/>
      </c>
      <c r="J7" s="2" t="n">
        <f aca="false">Parâmetros!$B$33*6</f>
        <v>23611.3734491399</v>
      </c>
      <c r="K7" s="2" t="str">
        <f aca="false">IFERROR(I7*J7,"")</f>
        <v/>
      </c>
      <c r="L7" s="2" t="str">
        <f aca="false">IFERROR(IF(H7=0,"",H7*Parâmetros!$B$28),"")</f>
        <v/>
      </c>
      <c r="M7" s="3" t="str">
        <f aca="false">IFERROR(K7/L7,"")</f>
        <v/>
      </c>
      <c r="N7" s="2" t="str">
        <f aca="false">IFERROR(K7-J7,"")</f>
        <v/>
      </c>
      <c r="O7" s="2" t="str">
        <f aca="false">IFERROR(K7-L7,"")</f>
        <v/>
      </c>
      <c r="P7" s="2" t="str">
        <f aca="false">IFERROR(Parâmetros!$B$36/M7,"")</f>
        <v/>
      </c>
      <c r="Q7" s="2" t="str">
        <f aca="false">IFERROR(Parâmetros!$B$36-P7,"")</f>
        <v/>
      </c>
    </row>
    <row r="8" customFormat="false" ht="15" hidden="false" customHeight="false" outlineLevel="0" collapsed="false">
      <c r="A8" s="0" t="s">
        <v>120</v>
      </c>
      <c r="B8" s="0" t="s">
        <v>149</v>
      </c>
      <c r="E8" s="0" t="n">
        <f aca="false">E7+C8</f>
        <v>0</v>
      </c>
      <c r="F8" s="0" t="n">
        <f aca="false">F7+D8</f>
        <v>0</v>
      </c>
      <c r="G8" s="0" t="n">
        <f aca="false">SUMIFS(Horas!$C:$C,Horas!$B:$B,$B8)</f>
        <v>0</v>
      </c>
      <c r="H8" s="0" t="n">
        <f aca="false">H7+G8</f>
        <v>0</v>
      </c>
      <c r="I8" s="3" t="str">
        <f aca="false">IFERROR(F8/E8,"")</f>
        <v/>
      </c>
      <c r="J8" s="2" t="n">
        <f aca="false">Parâmetros!$B$33*7</f>
        <v>27546.6023573299</v>
      </c>
      <c r="K8" s="2" t="str">
        <f aca="false">IFERROR(I8*J8,"")</f>
        <v/>
      </c>
      <c r="L8" s="2" t="str">
        <f aca="false">IFERROR(IF(H8=0,"",H8*Parâmetros!$B$28),"")</f>
        <v/>
      </c>
      <c r="M8" s="3" t="str">
        <f aca="false">IFERROR(K8/L8,"")</f>
        <v/>
      </c>
      <c r="N8" s="2" t="str">
        <f aca="false">IFERROR(K8-J8,"")</f>
        <v/>
      </c>
      <c r="O8" s="2" t="str">
        <f aca="false">IFERROR(K8-L8,"")</f>
        <v/>
      </c>
      <c r="P8" s="2" t="str">
        <f aca="false">IFERROR(Parâmetros!$B$36/M8,"")</f>
        <v/>
      </c>
      <c r="Q8" s="2" t="str">
        <f aca="false">IFERROR(Parâmetros!$B$36-P8,"")</f>
        <v/>
      </c>
    </row>
    <row r="9" customFormat="false" ht="15" hidden="false" customHeight="false" outlineLevel="0" collapsed="false">
      <c r="A9" s="0" t="s">
        <v>120</v>
      </c>
      <c r="B9" s="0" t="s">
        <v>150</v>
      </c>
      <c r="E9" s="0" t="n">
        <f aca="false">E8+C9</f>
        <v>0</v>
      </c>
      <c r="F9" s="0" t="n">
        <f aca="false">F8+D9</f>
        <v>0</v>
      </c>
      <c r="G9" s="0" t="n">
        <f aca="false">SUMIFS(Horas!$C:$C,Horas!$B:$B,$B9)</f>
        <v>0</v>
      </c>
      <c r="H9" s="0" t="n">
        <f aca="false">H8+G9</f>
        <v>0</v>
      </c>
      <c r="I9" s="3" t="str">
        <f aca="false">IFERROR(F9/E9,"")</f>
        <v/>
      </c>
      <c r="J9" s="2" t="n">
        <f aca="false">Parâmetros!$B$33*8</f>
        <v>31481.8312655199</v>
      </c>
      <c r="K9" s="2" t="str">
        <f aca="false">IFERROR(I9*J9,"")</f>
        <v/>
      </c>
      <c r="L9" s="2" t="str">
        <f aca="false">IFERROR(IF(H9=0,"",H9*Parâmetros!$B$28),"")</f>
        <v/>
      </c>
      <c r="M9" s="3" t="str">
        <f aca="false">IFERROR(K9/L9,"")</f>
        <v/>
      </c>
      <c r="N9" s="2" t="str">
        <f aca="false">IFERROR(K9-J9,"")</f>
        <v/>
      </c>
      <c r="O9" s="2" t="str">
        <f aca="false">IFERROR(K9-L9,"")</f>
        <v/>
      </c>
      <c r="P9" s="2" t="str">
        <f aca="false">IFERROR(Parâmetros!$B$36/M9,"")</f>
        <v/>
      </c>
      <c r="Q9" s="2" t="str">
        <f aca="false">IFERROR(Parâmetros!$B$36-P9,"")</f>
        <v/>
      </c>
    </row>
    <row r="10" customFormat="false" ht="15" hidden="false" customHeight="false" outlineLevel="0" collapsed="false">
      <c r="A10" s="0" t="s">
        <v>120</v>
      </c>
      <c r="B10" s="0" t="s">
        <v>151</v>
      </c>
      <c r="E10" s="0" t="n">
        <f aca="false">E9+C10</f>
        <v>0</v>
      </c>
      <c r="F10" s="0" t="n">
        <f aca="false">F9+D10</f>
        <v>0</v>
      </c>
      <c r="G10" s="0" t="n">
        <f aca="false">SUMIFS(Horas!$C:$C,Horas!$B:$B,$B10)</f>
        <v>0</v>
      </c>
      <c r="H10" s="0" t="n">
        <f aca="false">H9+G10</f>
        <v>0</v>
      </c>
      <c r="I10" s="3" t="str">
        <f aca="false">IFERROR(F10/E10,"")</f>
        <v/>
      </c>
      <c r="J10" s="2" t="n">
        <f aca="false">Parâmetros!$B$33*9</f>
        <v>35417.0601737099</v>
      </c>
      <c r="K10" s="2" t="str">
        <f aca="false">IFERROR(I10*J10,"")</f>
        <v/>
      </c>
      <c r="L10" s="2" t="str">
        <f aca="false">IFERROR(IF(H10=0,"",H10*Parâmetros!$B$28),"")</f>
        <v/>
      </c>
      <c r="M10" s="3" t="str">
        <f aca="false">IFERROR(K10/L10,"")</f>
        <v/>
      </c>
      <c r="N10" s="2" t="str">
        <f aca="false">IFERROR(K10-J10,"")</f>
        <v/>
      </c>
      <c r="O10" s="2" t="str">
        <f aca="false">IFERROR(K10-L10,"")</f>
        <v/>
      </c>
      <c r="P10" s="2" t="str">
        <f aca="false">IFERROR(Parâmetros!$B$36/M10,"")</f>
        <v/>
      </c>
      <c r="Q10" s="2" t="str">
        <f aca="false">IFERROR(Parâmetros!$B$36-P10,"")</f>
        <v/>
      </c>
    </row>
    <row r="11" customFormat="false" ht="15" hidden="false" customHeight="false" outlineLevel="0" collapsed="false">
      <c r="A11" s="0" t="s">
        <v>120</v>
      </c>
      <c r="B11" s="0" t="s">
        <v>152</v>
      </c>
      <c r="E11" s="0" t="n">
        <f aca="false">E10+C11</f>
        <v>0</v>
      </c>
      <c r="F11" s="0" t="n">
        <f aca="false">F10+D11</f>
        <v>0</v>
      </c>
      <c r="G11" s="0" t="n">
        <f aca="false">SUMIFS(Horas!$C:$C,Horas!$B:$B,$B11)</f>
        <v>0</v>
      </c>
      <c r="H11" s="0" t="n">
        <f aca="false">H10+G11</f>
        <v>0</v>
      </c>
      <c r="I11" s="3" t="str">
        <f aca="false">IFERROR(F11/E11,"")</f>
        <v/>
      </c>
      <c r="J11" s="2" t="n">
        <f aca="false">Parâmetros!$B$33*10</f>
        <v>39352.2890818999</v>
      </c>
      <c r="K11" s="2" t="str">
        <f aca="false">IFERROR(I11*J11,"")</f>
        <v/>
      </c>
      <c r="L11" s="2" t="str">
        <f aca="false">IFERROR(IF(H11=0,"",H11*Parâmetros!$B$28),"")</f>
        <v/>
      </c>
      <c r="M11" s="3" t="str">
        <f aca="false">IFERROR(K11/L11,"")</f>
        <v/>
      </c>
      <c r="N11" s="2" t="str">
        <f aca="false">IFERROR(K11-J11,"")</f>
        <v/>
      </c>
      <c r="O11" s="2" t="str">
        <f aca="false">IFERROR(K11-L11,"")</f>
        <v/>
      </c>
      <c r="P11" s="2" t="str">
        <f aca="false">IFERROR(Parâmetros!$B$36/M11,"")</f>
        <v/>
      </c>
      <c r="Q11" s="2" t="str">
        <f aca="false">IFERROR(Parâmetros!$B$36-P11,"")</f>
        <v/>
      </c>
    </row>
    <row r="12" customFormat="false" ht="15" hidden="false" customHeight="false" outlineLevel="0" collapsed="false">
      <c r="A12" s="0" t="s">
        <v>122</v>
      </c>
      <c r="B12" s="0" t="s">
        <v>153</v>
      </c>
      <c r="E12" s="0" t="n">
        <f aca="false">E11+C12</f>
        <v>0</v>
      </c>
      <c r="F12" s="0" t="n">
        <f aca="false">F11+D12</f>
        <v>0</v>
      </c>
      <c r="G12" s="0" t="n">
        <f aca="false">SUMIFS(Horas!$C:$C,Horas!$B:$B,$B12)</f>
        <v>0</v>
      </c>
      <c r="H12" s="0" t="n">
        <f aca="false">H11+G12</f>
        <v>0</v>
      </c>
      <c r="I12" s="3" t="str">
        <f aca="false">IFERROR(F12/E12,"")</f>
        <v/>
      </c>
      <c r="J12" s="2" t="n">
        <f aca="false">Parâmetros!$B$33*11</f>
        <v>43287.5179900898</v>
      </c>
      <c r="K12" s="2" t="str">
        <f aca="false">IFERROR(I12*J12,"")</f>
        <v/>
      </c>
      <c r="L12" s="2" t="str">
        <f aca="false">IFERROR(IF(H12=0,"",H12*Parâmetros!$B$28),"")</f>
        <v/>
      </c>
      <c r="M12" s="3" t="str">
        <f aca="false">IFERROR(K12/L12,"")</f>
        <v/>
      </c>
      <c r="N12" s="2" t="str">
        <f aca="false">IFERROR(K12-J12,"")</f>
        <v/>
      </c>
      <c r="O12" s="2" t="str">
        <f aca="false">IFERROR(K12-L12,"")</f>
        <v/>
      </c>
      <c r="P12" s="2" t="str">
        <f aca="false">IFERROR(Parâmetros!$B$36/M12,"")</f>
        <v/>
      </c>
      <c r="Q12" s="2" t="str">
        <f aca="false">IFERROR(Parâmetros!$B$36-P12,"")</f>
        <v/>
      </c>
    </row>
    <row r="13" customFormat="false" ht="15" hidden="false" customHeight="false" outlineLevel="0" collapsed="false">
      <c r="A13" s="0" t="s">
        <v>122</v>
      </c>
      <c r="B13" s="0" t="s">
        <v>154</v>
      </c>
      <c r="E13" s="0" t="n">
        <f aca="false">E12+C13</f>
        <v>0</v>
      </c>
      <c r="F13" s="0" t="n">
        <f aca="false">F12+D13</f>
        <v>0</v>
      </c>
      <c r="G13" s="0" t="n">
        <f aca="false">SUMIFS(Horas!$C:$C,Horas!$B:$B,$B13)</f>
        <v>0</v>
      </c>
      <c r="H13" s="0" t="n">
        <f aca="false">H12+G13</f>
        <v>0</v>
      </c>
      <c r="I13" s="3" t="str">
        <f aca="false">IFERROR(F13/E13,"")</f>
        <v/>
      </c>
      <c r="J13" s="2" t="n">
        <f aca="false">Parâmetros!$B$33*12</f>
        <v>47222.7468982798</v>
      </c>
      <c r="K13" s="2" t="str">
        <f aca="false">IFERROR(I13*J13,"")</f>
        <v/>
      </c>
      <c r="L13" s="2" t="str">
        <f aca="false">IFERROR(IF(H13=0,"",H13*Parâmetros!$B$28),"")</f>
        <v/>
      </c>
      <c r="M13" s="3" t="str">
        <f aca="false">IFERROR(K13/L13,"")</f>
        <v/>
      </c>
      <c r="N13" s="2" t="str">
        <f aca="false">IFERROR(K13-J13,"")</f>
        <v/>
      </c>
      <c r="O13" s="2" t="str">
        <f aca="false">IFERROR(K13-L13,"")</f>
        <v/>
      </c>
      <c r="P13" s="2" t="str">
        <f aca="false">IFERROR(Parâmetros!$B$36/M13,"")</f>
        <v/>
      </c>
      <c r="Q13" s="2" t="str">
        <f aca="false">IFERROR(Parâmetros!$B$36-P13,"")</f>
        <v/>
      </c>
    </row>
    <row r="14" customFormat="false" ht="15" hidden="false" customHeight="false" outlineLevel="0" collapsed="false">
      <c r="A14" s="0" t="s">
        <v>122</v>
      </c>
      <c r="B14" s="0" t="s">
        <v>155</v>
      </c>
      <c r="E14" s="0" t="n">
        <f aca="false">E13+C14</f>
        <v>0</v>
      </c>
      <c r="F14" s="0" t="n">
        <f aca="false">F13+D14</f>
        <v>0</v>
      </c>
      <c r="G14" s="0" t="n">
        <f aca="false">SUMIFS(Horas!$C:$C,Horas!$B:$B,$B14)</f>
        <v>0</v>
      </c>
      <c r="H14" s="0" t="n">
        <f aca="false">H13+G14</f>
        <v>0</v>
      </c>
      <c r="I14" s="3" t="str">
        <f aca="false">IFERROR(F14/E14,"")</f>
        <v/>
      </c>
      <c r="J14" s="2" t="n">
        <f aca="false">Parâmetros!$B$33*13</f>
        <v>51157.9758064698</v>
      </c>
      <c r="K14" s="2" t="str">
        <f aca="false">IFERROR(I14*J14,"")</f>
        <v/>
      </c>
      <c r="L14" s="2" t="str">
        <f aca="false">IFERROR(IF(H14=0,"",H14*Parâmetros!$B$28),"")</f>
        <v/>
      </c>
      <c r="M14" s="3" t="str">
        <f aca="false">IFERROR(K14/L14,"")</f>
        <v/>
      </c>
      <c r="N14" s="2" t="str">
        <f aca="false">IFERROR(K14-J14,"")</f>
        <v/>
      </c>
      <c r="O14" s="2" t="str">
        <f aca="false">IFERROR(K14-L14,"")</f>
        <v/>
      </c>
      <c r="P14" s="2" t="str">
        <f aca="false">IFERROR(Parâmetros!$B$36/M14,"")</f>
        <v/>
      </c>
      <c r="Q14" s="2" t="str">
        <f aca="false">IFERROR(Parâmetros!$B$36-P14,"")</f>
        <v/>
      </c>
    </row>
    <row r="15" customFormat="false" ht="15" hidden="false" customHeight="false" outlineLevel="0" collapsed="false">
      <c r="A15" s="0" t="s">
        <v>122</v>
      </c>
      <c r="B15" s="0" t="s">
        <v>156</v>
      </c>
      <c r="E15" s="0" t="n">
        <f aca="false">E14+C15</f>
        <v>0</v>
      </c>
      <c r="F15" s="0" t="n">
        <f aca="false">F14+D15</f>
        <v>0</v>
      </c>
      <c r="G15" s="0" t="n">
        <f aca="false">SUMIFS(Horas!$C:$C,Horas!$B:$B,$B15)</f>
        <v>0</v>
      </c>
      <c r="H15" s="0" t="n">
        <f aca="false">H14+G15</f>
        <v>0</v>
      </c>
      <c r="I15" s="3" t="str">
        <f aca="false">IFERROR(F15/E15,"")</f>
        <v/>
      </c>
      <c r="J15" s="2" t="n">
        <f aca="false">Parâmetros!$B$33*14</f>
        <v>55093.2047146598</v>
      </c>
      <c r="K15" s="2" t="str">
        <f aca="false">IFERROR(I15*J15,"")</f>
        <v/>
      </c>
      <c r="L15" s="2" t="str">
        <f aca="false">IFERROR(IF(H15=0,"",H15*Parâmetros!$B$28),"")</f>
        <v/>
      </c>
      <c r="M15" s="3" t="str">
        <f aca="false">IFERROR(K15/L15,"")</f>
        <v/>
      </c>
      <c r="N15" s="2" t="str">
        <f aca="false">IFERROR(K15-J15,"")</f>
        <v/>
      </c>
      <c r="O15" s="2" t="str">
        <f aca="false">IFERROR(K15-L15,"")</f>
        <v/>
      </c>
      <c r="P15" s="2" t="str">
        <f aca="false">IFERROR(Parâmetros!$B$36/M15,"")</f>
        <v/>
      </c>
      <c r="Q15" s="2" t="str">
        <f aca="false">IFERROR(Parâmetros!$B$36-P15,"")</f>
        <v/>
      </c>
    </row>
    <row r="16" customFormat="false" ht="15" hidden="false" customHeight="false" outlineLevel="0" collapsed="false">
      <c r="A16" s="0" t="s">
        <v>122</v>
      </c>
      <c r="B16" s="0" t="s">
        <v>157</v>
      </c>
      <c r="E16" s="0" t="n">
        <f aca="false">E15+C16</f>
        <v>0</v>
      </c>
      <c r="F16" s="0" t="n">
        <f aca="false">F15+D16</f>
        <v>0</v>
      </c>
      <c r="G16" s="0" t="n">
        <f aca="false">SUMIFS(Horas!$C:$C,Horas!$B:$B,$B16)</f>
        <v>0</v>
      </c>
      <c r="H16" s="0" t="n">
        <f aca="false">H15+G16</f>
        <v>0</v>
      </c>
      <c r="I16" s="3" t="str">
        <f aca="false">IFERROR(F16/E16,"")</f>
        <v/>
      </c>
      <c r="J16" s="2" t="n">
        <f aca="false">Parâmetros!$B$33*15</f>
        <v>59028.4336228498</v>
      </c>
      <c r="K16" s="2" t="str">
        <f aca="false">IFERROR(I16*J16,"")</f>
        <v/>
      </c>
      <c r="L16" s="2" t="str">
        <f aca="false">IFERROR(IF(H16=0,"",H16*Parâmetros!$B$28),"")</f>
        <v/>
      </c>
      <c r="M16" s="3" t="str">
        <f aca="false">IFERROR(K16/L16,"")</f>
        <v/>
      </c>
      <c r="N16" s="2" t="str">
        <f aca="false">IFERROR(K16-J16,"")</f>
        <v/>
      </c>
      <c r="O16" s="2" t="str">
        <f aca="false">IFERROR(K16-L16,"")</f>
        <v/>
      </c>
      <c r="P16" s="2" t="str">
        <f aca="false">IFERROR(Parâmetros!$B$36/M16,"")</f>
        <v/>
      </c>
      <c r="Q16" s="2" t="str">
        <f aca="false">IFERROR(Parâmetros!$B$36-P16,"")</f>
        <v/>
      </c>
    </row>
    <row r="18" customFormat="false" ht="15" hidden="false" customHeight="false" outlineLevel="0" collapsed="false">
      <c r="A18" s="9" t="s">
        <v>173</v>
      </c>
    </row>
    <row r="19" customFormat="false" ht="15" hidden="false" customHeight="false" outlineLevel="0" collapsed="false">
      <c r="A19" s="9" t="s">
        <v>174</v>
      </c>
    </row>
    <row r="20" customFormat="false" ht="15" hidden="false" customHeight="false" outlineLevel="0" collapsed="false">
      <c r="A20" s="9" t="s">
        <v>175</v>
      </c>
    </row>
    <row r="21" customFormat="false" ht="15" hidden="false" customHeight="false" outlineLevel="0" collapsed="false">
      <c r="A21" s="9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2026-10-26T00:49:29Z</dcterms:created>
  <dc:creator>openpyxl</dc:creator>
  <dc:description/>
  <dc:language>pt-BR</dc:language>
  <cp:lastModifiedBy/>
  <dcterms:modified xsi:type="dcterms:W3CDTF">2026-10-26T00:49:29Z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